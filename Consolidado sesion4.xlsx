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Nomina" sheetId="2" state="visible" r:id="rId4"/>
    <sheet name="Personal" sheetId="3" state="visible" r:id="rId5"/>
    <sheet name="Recursos Humanos" sheetId="4" state="visible" r:id="rId6"/>
    <sheet name="Contratac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<sst xmlns="http://schemas.openxmlformats.org/spreadsheetml/2006/main" count="305" uniqueCount="100">
  <si>
    <t xml:space="preserve">ID Empleado</t>
  </si>
  <si>
    <t xml:space="preserve">Nombre</t>
  </si>
  <si>
    <t xml:space="preserve">Cargo</t>
  </si>
  <si>
    <t xml:space="preserve">Departamento</t>
  </si>
  <si>
    <t xml:space="preserve">Ciudad</t>
  </si>
  <si>
    <t xml:space="preserve">Estado</t>
  </si>
  <si>
    <t xml:space="preserve">Salario Base</t>
  </si>
  <si>
    <t xml:space="preserve">Auxilio Transporte</t>
  </si>
  <si>
    <t xml:space="preserve">Deducciones</t>
  </si>
  <si>
    <t xml:space="preserve">Salario Neto</t>
  </si>
  <si>
    <t xml:space="preserve">Capacitación</t>
  </si>
  <si>
    <t xml:space="preserve">Horas Capacitación</t>
  </si>
  <si>
    <t xml:space="preserve">Evaluación</t>
  </si>
  <si>
    <t xml:space="preserve">Satisfacción</t>
  </si>
  <si>
    <t xml:space="preserve">Resumen</t>
  </si>
  <si>
    <t xml:space="preserve">Total empleados</t>
  </si>
  <si>
    <t xml:space="preserve">Empleados activos</t>
  </si>
  <si>
    <t xml:space="preserve">Nómina total (Salario Neto)</t>
  </si>
  <si>
    <t xml:space="preserve">Salario Neto promedio</t>
  </si>
  <si>
    <t xml:space="preserve">Total horas de capacitación</t>
  </si>
  <si>
    <t xml:space="preserve">Satisfacción promedio</t>
  </si>
  <si>
    <t xml:space="preserve">ID Nómina</t>
  </si>
  <si>
    <t xml:space="preserve">Empleado</t>
  </si>
  <si>
    <t xml:space="preserve">Empleado 1</t>
  </si>
  <si>
    <t xml:space="preserve">Empleado 2</t>
  </si>
  <si>
    <t xml:space="preserve">Empleado 3</t>
  </si>
  <si>
    <t xml:space="preserve">Empleado 4</t>
  </si>
  <si>
    <t xml:space="preserve">Empleado 5</t>
  </si>
  <si>
    <t xml:space="preserve">Empleado 6</t>
  </si>
  <si>
    <t xml:space="preserve">Empleado 7</t>
  </si>
  <si>
    <t xml:space="preserve">Empleado 8</t>
  </si>
  <si>
    <t xml:space="preserve">Empleado 9</t>
  </si>
  <si>
    <t xml:space="preserve">Empleado 10</t>
  </si>
  <si>
    <t xml:space="preserve">Empleado 11</t>
  </si>
  <si>
    <t xml:space="preserve">Empleado 12</t>
  </si>
  <si>
    <t xml:space="preserve">Empleado 13</t>
  </si>
  <si>
    <t xml:space="preserve">Empleado 14</t>
  </si>
  <si>
    <t xml:space="preserve">Empleado 15</t>
  </si>
  <si>
    <t xml:space="preserve">Empleado 16</t>
  </si>
  <si>
    <t xml:space="preserve">Empleado 17</t>
  </si>
  <si>
    <t xml:space="preserve">Empleado 18</t>
  </si>
  <si>
    <t xml:space="preserve">Empleado 19</t>
  </si>
  <si>
    <t xml:space="preserve">Empleado 20</t>
  </si>
  <si>
    <t xml:space="preserve">Analista</t>
  </si>
  <si>
    <t xml:space="preserve">TI</t>
  </si>
  <si>
    <t xml:space="preserve">Bogotá</t>
  </si>
  <si>
    <t xml:space="preserve">Activo</t>
  </si>
  <si>
    <t xml:space="preserve">Desarrollador</t>
  </si>
  <si>
    <t xml:space="preserve">Medellín</t>
  </si>
  <si>
    <t xml:space="preserve">Contador</t>
  </si>
  <si>
    <t xml:space="preserve">Finanzas</t>
  </si>
  <si>
    <t xml:space="preserve">Cali</t>
  </si>
  <si>
    <t xml:space="preserve">Asistente</t>
  </si>
  <si>
    <t xml:space="preserve">Administración</t>
  </si>
  <si>
    <t xml:space="preserve">Gerente</t>
  </si>
  <si>
    <t xml:space="preserve">Gerencia</t>
  </si>
  <si>
    <t xml:space="preserve">Barranquilla</t>
  </si>
  <si>
    <t xml:space="preserve">Vacaciones</t>
  </si>
  <si>
    <t xml:space="preserve">Licencia</t>
  </si>
  <si>
    <t xml:space="preserve">ID Registro</t>
  </si>
  <si>
    <t xml:space="preserve">Seguridad</t>
  </si>
  <si>
    <t xml:space="preserve">Excelente</t>
  </si>
  <si>
    <t xml:space="preserve">Excel</t>
  </si>
  <si>
    <t xml:space="preserve">Bueno</t>
  </si>
  <si>
    <t xml:space="preserve">Liderazgo</t>
  </si>
  <si>
    <t xml:space="preserve">Programación</t>
  </si>
  <si>
    <t xml:space="preserve">Comunicación</t>
  </si>
  <si>
    <t xml:space="preserve">Satisfactorio</t>
  </si>
  <si>
    <t xml:space="preserve">ID Contratación</t>
  </si>
  <si>
    <t xml:space="preserve">Candidato</t>
  </si>
  <si>
    <t xml:space="preserve">Tipo Contrato</t>
  </si>
  <si>
    <t xml:space="preserve">Fecha Postulación</t>
  </si>
  <si>
    <t xml:space="preserve">Candidato 1</t>
  </si>
  <si>
    <t xml:space="preserve">Indefinido</t>
  </si>
  <si>
    <t xml:space="preserve">Contratado</t>
  </si>
  <si>
    <t xml:space="preserve">Candidato 2</t>
  </si>
  <si>
    <t xml:space="preserve">Término fijo</t>
  </si>
  <si>
    <t xml:space="preserve">En proceso</t>
  </si>
  <si>
    <t xml:space="preserve">Candidato 3</t>
  </si>
  <si>
    <t xml:space="preserve">Prestación de servicios</t>
  </si>
  <si>
    <t xml:space="preserve">Descartado</t>
  </si>
  <si>
    <t xml:space="preserve">Candidato 4</t>
  </si>
  <si>
    <t xml:space="preserve">Candidato 5</t>
  </si>
  <si>
    <t xml:space="preserve">Diseñador</t>
  </si>
  <si>
    <t xml:space="preserve">En entrevista</t>
  </si>
  <si>
    <t xml:space="preserve">Candidato 6</t>
  </si>
  <si>
    <t xml:space="preserve">Candidato 7</t>
  </si>
  <si>
    <t xml:space="preserve">Candidato 8</t>
  </si>
  <si>
    <t xml:space="preserve">Candidato 9</t>
  </si>
  <si>
    <t xml:space="preserve">Candidato 10</t>
  </si>
  <si>
    <t xml:space="preserve">Candidato 11</t>
  </si>
  <si>
    <t xml:space="preserve">Candidato 12</t>
  </si>
  <si>
    <t xml:space="preserve">Candidato 13</t>
  </si>
  <si>
    <t xml:space="preserve">Candidato 14</t>
  </si>
  <si>
    <t xml:space="preserve">Candidato 15</t>
  </si>
  <si>
    <t xml:space="preserve">Candidato 16</t>
  </si>
  <si>
    <t xml:space="preserve">Candidato 17</t>
  </si>
  <si>
    <t xml:space="preserve">Candidato 18</t>
  </si>
  <si>
    <t xml:space="preserve">Candidato 19</t>
  </si>
  <si>
    <t xml:space="preserve">Candidato 20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</si>
</sst>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f aca="false">Personal!A2</f>
        <v>1</v>
      </c>
      <c r="B2" s="2" t="str">
        <f aca="false">Personal!B2</f>
        <v>Empleado 1</v>
      </c>
      <c r="C2" s="2" t="str">
        <f aca="false">Personal!C2</f>
        <v>Analista</v>
      </c>
      <c r="D2" s="2" t="str">
        <f aca="false">Personal!D2</f>
        <v>TI</v>
      </c>
      <c r="E2" s="2" t="str">
        <f aca="false">Personal!E2</f>
        <v>Bogotá</v>
      </c>
      <c r="F2" s="2" t="str">
        <f aca="false">Personal!F2</f>
        <v>Activo</v>
      </c>
      <c r="G2" s="3" t="n">
        <f aca="false">INDEX(Nomina!$C$2:$C$21,MATCH($A2,Nomina!$A$2:$A$21,0))</f>
        <v>1800000</v>
      </c>
      <c r="H2" s="3" t="n">
        <f aca="false">INDEX(Nomina!$D$2:$D$21,MATCH($A2,Nomina!$A$2:$A$21,0))</f>
        <v>200000</v>
      </c>
      <c r="I2" s="3" t="n">
        <f aca="false">INDEX(Nomina!$E$2:$E$21,MATCH($A2,Nomina!$A$2:$A$21,0))</f>
        <v>120000</v>
      </c>
      <c r="J2" s="3" t="n">
        <f aca="false">INDEX(Nomina!$F$2:$F$21,MATCH($A2,Nomina!$A$2:$A$21,0))</f>
        <v>1880000</v>
      </c>
      <c r="K2" s="2" t="str">
        <f aca="false">INDEX('Recursos Humanos'!$C$2:$C$21,MATCH($A2,'Recursos Humanos'!$A$2:$A$21,0))</f>
        <v>Seguridad</v>
      </c>
      <c r="L2" s="2" t="n">
        <f aca="false">INDEX('Recursos Humanos'!$D$2:$D$21,MATCH($A2,'Recursos Humanos'!$A$2:$A$21,0))</f>
        <v>8</v>
      </c>
      <c r="M2" s="2" t="str">
        <f aca="false">INDEX('Recursos Humanos'!$E$2:$E$21,MATCH($A2,'Recursos Humanos'!$A$2:$A$21,0))</f>
        <v>Excelente</v>
      </c>
      <c r="N2" s="2" t="n">
        <f aca="false">INDEX('Recursos Humanos'!$F$2:$F$21,MATCH($A2,'Recursos Humanos'!$A$2:$A$21,0))</f>
        <v>5</v>
      </c>
    </row>
    <row r="3" customFormat="false" ht="15" hidden="false" customHeight="false" outlineLevel="0" collapsed="false">
      <c r="A3" s="2" t="n">
        <f aca="false">Personal!A3</f>
        <v>2</v>
      </c>
      <c r="B3" s="2" t="str">
        <f aca="false">Personal!B3</f>
        <v>Empleado 2</v>
      </c>
      <c r="C3" s="2" t="str">
        <f aca="false">Personal!C3</f>
        <v>Desarrollador</v>
      </c>
      <c r="D3" s="2" t="str">
        <f aca="false">Personal!D3</f>
        <v>TI</v>
      </c>
      <c r="E3" s="2" t="str">
        <f aca="false">Personal!E3</f>
        <v>Medellín</v>
      </c>
      <c r="F3" s="2" t="str">
        <f aca="false">Personal!F3</f>
        <v>Activo</v>
      </c>
      <c r="G3" s="3" t="n">
        <f aca="false">INDEX(Nomina!$C$2:$C$21,MATCH($A3,Nomina!$A$2:$A$21,0))</f>
        <v>1850000</v>
      </c>
      <c r="H3" s="3" t="n">
        <f aca="false">INDEX(Nomina!$D$2:$D$21,MATCH($A3,Nomina!$A$2:$A$21,0))</f>
        <v>200000</v>
      </c>
      <c r="I3" s="3" t="n">
        <f aca="false">INDEX(Nomina!$E$2:$E$21,MATCH($A3,Nomina!$A$2:$A$21,0))</f>
        <v>125000</v>
      </c>
      <c r="J3" s="3" t="n">
        <f aca="false">INDEX(Nomina!$F$2:$F$21,MATCH($A3,Nomina!$A$2:$A$21,0))</f>
        <v>1925000</v>
      </c>
      <c r="K3" s="2" t="str">
        <f aca="false">INDEX('Recursos Humanos'!$C$2:$C$21,MATCH($A3,'Recursos Humanos'!$A$2:$A$21,0))</f>
        <v>Excel</v>
      </c>
      <c r="L3" s="2" t="n">
        <f aca="false">INDEX('Recursos Humanos'!$D$2:$D$21,MATCH($A3,'Recursos Humanos'!$A$2:$A$21,0))</f>
        <v>12</v>
      </c>
      <c r="M3" s="2" t="str">
        <f aca="false">INDEX('Recursos Humanos'!$E$2:$E$21,MATCH($A3,'Recursos Humanos'!$A$2:$A$21,0))</f>
        <v>Bueno</v>
      </c>
      <c r="N3" s="2" t="n">
        <f aca="false">INDEX('Recursos Humanos'!$F$2:$F$21,MATCH($A3,'Recursos Humanos'!$A$2:$A$21,0))</f>
        <v>4</v>
      </c>
    </row>
    <row r="4" customFormat="false" ht="15" hidden="false" customHeight="false" outlineLevel="0" collapsed="false">
      <c r="A4" s="2" t="n">
        <f aca="false">Personal!A4</f>
        <v>3</v>
      </c>
      <c r="B4" s="2" t="str">
        <f aca="false">Personal!B4</f>
        <v>Empleado 3</v>
      </c>
      <c r="C4" s="2" t="str">
        <f aca="false">Personal!C4</f>
        <v>Contador</v>
      </c>
      <c r="D4" s="2" t="str">
        <f aca="false">Personal!D4</f>
        <v>Finanzas</v>
      </c>
      <c r="E4" s="2" t="str">
        <f aca="false">Personal!E4</f>
        <v>Cali</v>
      </c>
      <c r="F4" s="2" t="str">
        <f aca="false">Personal!F4</f>
        <v>Activo</v>
      </c>
      <c r="G4" s="3" t="n">
        <f aca="false">INDEX(Nomina!$C$2:$C$21,MATCH($A4,Nomina!$A$2:$A$21,0))</f>
        <v>1900000</v>
      </c>
      <c r="H4" s="3" t="n">
        <f aca="false">INDEX(Nomina!$D$2:$D$21,MATCH($A4,Nomina!$A$2:$A$21,0))</f>
        <v>200000</v>
      </c>
      <c r="I4" s="3" t="n">
        <f aca="false">INDEX(Nomina!$E$2:$E$21,MATCH($A4,Nomina!$A$2:$A$21,0))</f>
        <v>130000</v>
      </c>
      <c r="J4" s="3" t="n">
        <f aca="false">INDEX(Nomina!$F$2:$F$21,MATCH($A4,Nomina!$A$2:$A$21,0))</f>
        <v>1970000</v>
      </c>
      <c r="K4" s="2" t="str">
        <f aca="false">INDEX('Recursos Humanos'!$C$2:$C$21,MATCH($A4,'Recursos Humanos'!$A$2:$A$21,0))</f>
        <v>Liderazgo</v>
      </c>
      <c r="L4" s="2" t="n">
        <f aca="false">INDEX('Recursos Humanos'!$D$2:$D$21,MATCH($A4,'Recursos Humanos'!$A$2:$A$21,0))</f>
        <v>6</v>
      </c>
      <c r="M4" s="2" t="str">
        <f aca="false">INDEX('Recursos Humanos'!$E$2:$E$21,MATCH($A4,'Recursos Humanos'!$A$2:$A$21,0))</f>
        <v>Bueno</v>
      </c>
      <c r="N4" s="2" t="n">
        <f aca="false">INDEX('Recursos Humanos'!$F$2:$F$21,MATCH($A4,'Recursos Humanos'!$A$2:$A$21,0))</f>
        <v>4</v>
      </c>
    </row>
    <row r="5" customFormat="false" ht="15" hidden="false" customHeight="false" outlineLevel="0" collapsed="false">
      <c r="A5" s="2" t="n">
        <f aca="false">Personal!A5</f>
        <v>4</v>
      </c>
      <c r="B5" s="2" t="str">
        <f aca="false">Personal!B5</f>
        <v>Empleado 4</v>
      </c>
      <c r="C5" s="2" t="str">
        <f aca="false">Personal!C5</f>
        <v>Asistente</v>
      </c>
      <c r="D5" s="2" t="str">
        <f aca="false">Personal!D5</f>
        <v>Administración</v>
      </c>
      <c r="E5" s="2" t="str">
        <f aca="false">Personal!E5</f>
        <v>Bogotá</v>
      </c>
      <c r="F5" s="2" t="str">
        <f aca="false">Personal!F5</f>
        <v>Activo</v>
      </c>
      <c r="G5" s="3" t="n">
        <f aca="false">INDEX(Nomina!$C$2:$C$21,MATCH($A5,Nomina!$A$2:$A$21,0))</f>
        <v>1950000</v>
      </c>
      <c r="H5" s="3" t="n">
        <f aca="false">INDEX(Nomina!$D$2:$D$21,MATCH($A5,Nomina!$A$2:$A$21,0))</f>
        <v>200000</v>
      </c>
      <c r="I5" s="3" t="n">
        <f aca="false">INDEX(Nomina!$E$2:$E$21,MATCH($A5,Nomina!$A$2:$A$21,0))</f>
        <v>135000</v>
      </c>
      <c r="J5" s="3" t="n">
        <f aca="false">INDEX(Nomina!$F$2:$F$21,MATCH($A5,Nomina!$A$2:$A$21,0))</f>
        <v>2015000</v>
      </c>
      <c r="K5" s="2" t="str">
        <f aca="false">INDEX('Recursos Humanos'!$C$2:$C$21,MATCH($A5,'Recursos Humanos'!$A$2:$A$21,0))</f>
        <v>Programación</v>
      </c>
      <c r="L5" s="2" t="n">
        <f aca="false">INDEX('Recursos Humanos'!$D$2:$D$21,MATCH($A5,'Recursos Humanos'!$A$2:$A$21,0))</f>
        <v>16</v>
      </c>
      <c r="M5" s="2" t="str">
        <f aca="false">INDEX('Recursos Humanos'!$E$2:$E$21,MATCH($A5,'Recursos Humanos'!$A$2:$A$21,0))</f>
        <v>Excelente</v>
      </c>
      <c r="N5" s="2" t="n">
        <f aca="false">INDEX('Recursos Humanos'!$F$2:$F$21,MATCH($A5,'Recursos Humanos'!$A$2:$A$21,0))</f>
        <v>5</v>
      </c>
    </row>
    <row r="6" customFormat="false" ht="15" hidden="false" customHeight="false" outlineLevel="0" collapsed="false">
      <c r="A6" s="2" t="n">
        <f aca="false">Personal!A6</f>
        <v>5</v>
      </c>
      <c r="B6" s="2" t="str">
        <f aca="false">Personal!B6</f>
        <v>Empleado 5</v>
      </c>
      <c r="C6" s="2" t="str">
        <f aca="false">Personal!C6</f>
        <v>Gerente</v>
      </c>
      <c r="D6" s="2" t="str">
        <f aca="false">Personal!D6</f>
        <v>Gerencia</v>
      </c>
      <c r="E6" s="2" t="str">
        <f aca="false">Personal!E6</f>
        <v>Barranquilla</v>
      </c>
      <c r="F6" s="2" t="str">
        <f aca="false">Personal!F6</f>
        <v>Activo</v>
      </c>
      <c r="G6" s="3" t="n">
        <f aca="false">INDEX(Nomina!$C$2:$C$21,MATCH($A6,Nomina!$A$2:$A$21,0))</f>
        <v>2000000</v>
      </c>
      <c r="H6" s="3" t="n">
        <f aca="false">INDEX(Nomina!$D$2:$D$21,MATCH($A6,Nomina!$A$2:$A$21,0))</f>
        <v>200000</v>
      </c>
      <c r="I6" s="3" t="n">
        <f aca="false">INDEX(Nomina!$E$2:$E$21,MATCH($A6,Nomina!$A$2:$A$21,0))</f>
        <v>140000</v>
      </c>
      <c r="J6" s="3" t="n">
        <f aca="false">INDEX(Nomina!$F$2:$F$21,MATCH($A6,Nomina!$A$2:$A$21,0))</f>
        <v>2060000</v>
      </c>
      <c r="K6" s="2" t="str">
        <f aca="false">INDEX('Recursos Humanos'!$C$2:$C$21,MATCH($A6,'Recursos Humanos'!$A$2:$A$21,0))</f>
        <v>Comunicación</v>
      </c>
      <c r="L6" s="2" t="n">
        <f aca="false">INDEX('Recursos Humanos'!$D$2:$D$21,MATCH($A6,'Recursos Humanos'!$A$2:$A$21,0))</f>
        <v>10</v>
      </c>
      <c r="M6" s="2" t="str">
        <f aca="false">INDEX('Recursos Humanos'!$E$2:$E$21,MATCH($A6,'Recursos Humanos'!$A$2:$A$21,0))</f>
        <v>Satisfactorio</v>
      </c>
      <c r="N6" s="2" t="n">
        <f aca="false">INDEX('Recursos Humanos'!$F$2:$F$21,MATCH($A6,'Recursos Humanos'!$A$2:$A$21,0))</f>
        <v>3</v>
      </c>
    </row>
    <row r="7" customFormat="false" ht="15" hidden="false" customHeight="false" outlineLevel="0" collapsed="false">
      <c r="A7" s="2" t="n">
        <f aca="false">Personal!A7</f>
        <v>6</v>
      </c>
      <c r="B7" s="2" t="str">
        <f aca="false">Personal!B7</f>
        <v>Empleado 6</v>
      </c>
      <c r="C7" s="2" t="str">
        <f aca="false">Personal!C7</f>
        <v>Analista</v>
      </c>
      <c r="D7" s="2" t="str">
        <f aca="false">Personal!D7</f>
        <v>TI</v>
      </c>
      <c r="E7" s="2" t="str">
        <f aca="false">Personal!E7</f>
        <v>Bogotá</v>
      </c>
      <c r="F7" s="2" t="str">
        <f aca="false">Personal!F7</f>
        <v>Activo</v>
      </c>
      <c r="G7" s="3" t="n">
        <f aca="false">INDEX(Nomina!$C$2:$C$21,MATCH($A7,Nomina!$A$2:$A$21,0))</f>
        <v>2050000</v>
      </c>
      <c r="H7" s="3" t="n">
        <f aca="false">INDEX(Nomina!$D$2:$D$21,MATCH($A7,Nomina!$A$2:$A$21,0))</f>
        <v>200000</v>
      </c>
      <c r="I7" s="3" t="n">
        <f aca="false">INDEX(Nomina!$E$2:$E$21,MATCH($A7,Nomina!$A$2:$A$21,0))</f>
        <v>145000</v>
      </c>
      <c r="J7" s="3" t="n">
        <f aca="false">INDEX(Nomina!$F$2:$F$21,MATCH($A7,Nomina!$A$2:$A$21,0))</f>
        <v>2105000</v>
      </c>
      <c r="K7" s="2" t="str">
        <f aca="false">INDEX('Recursos Humanos'!$C$2:$C$21,MATCH($A7,'Recursos Humanos'!$A$2:$A$21,0))</f>
        <v>Seguridad</v>
      </c>
      <c r="L7" s="2" t="n">
        <f aca="false">INDEX('Recursos Humanos'!$D$2:$D$21,MATCH($A7,'Recursos Humanos'!$A$2:$A$21,0))</f>
        <v>8</v>
      </c>
      <c r="M7" s="2" t="str">
        <f aca="false">INDEX('Recursos Humanos'!$E$2:$E$21,MATCH($A7,'Recursos Humanos'!$A$2:$A$21,0))</f>
        <v>Excelente</v>
      </c>
      <c r="N7" s="2" t="n">
        <f aca="false">INDEX('Recursos Humanos'!$F$2:$F$21,MATCH($A7,'Recursos Humanos'!$A$2:$A$21,0))</f>
        <v>5</v>
      </c>
    </row>
    <row r="8" customFormat="false" ht="15" hidden="false" customHeight="false" outlineLevel="0" collapsed="false">
      <c r="A8" s="2" t="n">
        <f aca="false">Personal!A8</f>
        <v>7</v>
      </c>
      <c r="B8" s="2" t="str">
        <f aca="false">Personal!B8</f>
        <v>Empleado 7</v>
      </c>
      <c r="C8" s="2" t="str">
        <f aca="false">Personal!C8</f>
        <v>Desarrollador</v>
      </c>
      <c r="D8" s="2" t="str">
        <f aca="false">Personal!D8</f>
        <v>TI</v>
      </c>
      <c r="E8" s="2" t="str">
        <f aca="false">Personal!E8</f>
        <v>Medellín</v>
      </c>
      <c r="F8" s="2" t="str">
        <f aca="false">Personal!F8</f>
        <v>Activo</v>
      </c>
      <c r="G8" s="3" t="n">
        <f aca="false">INDEX(Nomina!$C$2:$C$21,MATCH($A8,Nomina!$A$2:$A$21,0))</f>
        <v>2100000</v>
      </c>
      <c r="H8" s="3" t="n">
        <f aca="false">INDEX(Nomina!$D$2:$D$21,MATCH($A8,Nomina!$A$2:$A$21,0))</f>
        <v>200000</v>
      </c>
      <c r="I8" s="3" t="n">
        <f aca="false">INDEX(Nomina!$E$2:$E$21,MATCH($A8,Nomina!$A$2:$A$21,0))</f>
        <v>150000</v>
      </c>
      <c r="J8" s="3" t="n">
        <f aca="false">INDEX(Nomina!$F$2:$F$21,MATCH($A8,Nomina!$A$2:$A$21,0))</f>
        <v>2150000</v>
      </c>
      <c r="K8" s="2" t="str">
        <f aca="false">INDEX('Recursos Humanos'!$C$2:$C$21,MATCH($A8,'Recursos Humanos'!$A$2:$A$21,0))</f>
        <v>Excel</v>
      </c>
      <c r="L8" s="2" t="n">
        <f aca="false">INDEX('Recursos Humanos'!$D$2:$D$21,MATCH($A8,'Recursos Humanos'!$A$2:$A$21,0))</f>
        <v>12</v>
      </c>
      <c r="M8" s="2" t="str">
        <f aca="false">INDEX('Recursos Humanos'!$E$2:$E$21,MATCH($A8,'Recursos Humanos'!$A$2:$A$21,0))</f>
        <v>Bueno</v>
      </c>
      <c r="N8" s="2" t="n">
        <f aca="false">INDEX('Recursos Humanos'!$F$2:$F$21,MATCH($A8,'Recursos Humanos'!$A$2:$A$21,0))</f>
        <v>4</v>
      </c>
    </row>
    <row r="9" customFormat="false" ht="15" hidden="false" customHeight="false" outlineLevel="0" collapsed="false">
      <c r="A9" s="2" t="n">
        <f aca="false">Personal!A9</f>
        <v>8</v>
      </c>
      <c r="B9" s="2" t="str">
        <f aca="false">Personal!B9</f>
        <v>Empleado 8</v>
      </c>
      <c r="C9" s="2" t="str">
        <f aca="false">Personal!C9</f>
        <v>Contador</v>
      </c>
      <c r="D9" s="2" t="str">
        <f aca="false">Personal!D9</f>
        <v>Finanzas</v>
      </c>
      <c r="E9" s="2" t="str">
        <f aca="false">Personal!E9</f>
        <v>Cali</v>
      </c>
      <c r="F9" s="2" t="str">
        <f aca="false">Personal!F9</f>
        <v>Activo</v>
      </c>
      <c r="G9" s="3" t="n">
        <f aca="false">INDEX(Nomina!$C$2:$C$21,MATCH($A9,Nomina!$A$2:$A$21,0))</f>
        <v>2150000</v>
      </c>
      <c r="H9" s="3" t="n">
        <f aca="false">INDEX(Nomina!$D$2:$D$21,MATCH($A9,Nomina!$A$2:$A$21,0))</f>
        <v>200000</v>
      </c>
      <c r="I9" s="3" t="n">
        <f aca="false">INDEX(Nomina!$E$2:$E$21,MATCH($A9,Nomina!$A$2:$A$21,0))</f>
        <v>155000</v>
      </c>
      <c r="J9" s="3" t="n">
        <f aca="false">INDEX(Nomina!$F$2:$F$21,MATCH($A9,Nomina!$A$2:$A$21,0))</f>
        <v>2195000</v>
      </c>
      <c r="K9" s="2" t="str">
        <f aca="false">INDEX('Recursos Humanos'!$C$2:$C$21,MATCH($A9,'Recursos Humanos'!$A$2:$A$21,0))</f>
        <v>Liderazgo</v>
      </c>
      <c r="L9" s="2" t="n">
        <f aca="false">INDEX('Recursos Humanos'!$D$2:$D$21,MATCH($A9,'Recursos Humanos'!$A$2:$A$21,0))</f>
        <v>6</v>
      </c>
      <c r="M9" s="2" t="str">
        <f aca="false">INDEX('Recursos Humanos'!$E$2:$E$21,MATCH($A9,'Recursos Humanos'!$A$2:$A$21,0))</f>
        <v>Bueno</v>
      </c>
      <c r="N9" s="2" t="n">
        <f aca="false">INDEX('Recursos Humanos'!$F$2:$F$21,MATCH($A9,'Recursos Humanos'!$A$2:$A$21,0))</f>
        <v>4</v>
      </c>
    </row>
    <row r="10" customFormat="false" ht="15" hidden="false" customHeight="false" outlineLevel="0" collapsed="false">
      <c r="A10" s="2" t="n">
        <f aca="false">Personal!A10</f>
        <v>9</v>
      </c>
      <c r="B10" s="2" t="str">
        <f aca="false">Personal!B10</f>
        <v>Empleado 9</v>
      </c>
      <c r="C10" s="2" t="str">
        <f aca="false">Personal!C10</f>
        <v>Asistente</v>
      </c>
      <c r="D10" s="2" t="str">
        <f aca="false">Personal!D10</f>
        <v>Administración</v>
      </c>
      <c r="E10" s="2" t="str">
        <f aca="false">Personal!E10</f>
        <v>Bogotá</v>
      </c>
      <c r="F10" s="2" t="str">
        <f aca="false">Personal!F10</f>
        <v>Activo</v>
      </c>
      <c r="G10" s="3" t="n">
        <f aca="false">INDEX(Nomina!$C$2:$C$21,MATCH($A10,Nomina!$A$2:$A$21,0))</f>
        <v>2200000</v>
      </c>
      <c r="H10" s="3" t="n">
        <f aca="false">INDEX(Nomina!$D$2:$D$21,MATCH($A10,Nomina!$A$2:$A$21,0))</f>
        <v>200000</v>
      </c>
      <c r="I10" s="3" t="n">
        <f aca="false">INDEX(Nomina!$E$2:$E$21,MATCH($A10,Nomina!$A$2:$A$21,0))</f>
        <v>160000</v>
      </c>
      <c r="J10" s="3" t="n">
        <f aca="false">INDEX(Nomina!$F$2:$F$21,MATCH($A10,Nomina!$A$2:$A$21,0))</f>
        <v>2240000</v>
      </c>
      <c r="K10" s="2" t="str">
        <f aca="false">INDEX('Recursos Humanos'!$C$2:$C$21,MATCH($A10,'Recursos Humanos'!$A$2:$A$21,0))</f>
        <v>Programación</v>
      </c>
      <c r="L10" s="2" t="n">
        <f aca="false">INDEX('Recursos Humanos'!$D$2:$D$21,MATCH($A10,'Recursos Humanos'!$A$2:$A$21,0))</f>
        <v>16</v>
      </c>
      <c r="M10" s="2" t="str">
        <f aca="false">INDEX('Recursos Humanos'!$E$2:$E$21,MATCH($A10,'Recursos Humanos'!$A$2:$A$21,0))</f>
        <v>Excelente</v>
      </c>
      <c r="N10" s="2" t="n">
        <f aca="false">INDEX('Recursos Humanos'!$F$2:$F$21,MATCH($A10,'Recursos Humanos'!$A$2:$A$21,0))</f>
        <v>5</v>
      </c>
    </row>
    <row r="11" customFormat="false" ht="15" hidden="false" customHeight="false" outlineLevel="0" collapsed="false">
      <c r="A11" s="2" t="n">
        <f aca="false">Personal!A11</f>
        <v>10</v>
      </c>
      <c r="B11" s="2" t="str">
        <f aca="false">Personal!B11</f>
        <v>Empleado 10</v>
      </c>
      <c r="C11" s="2" t="str">
        <f aca="false">Personal!C11</f>
        <v>Gerente</v>
      </c>
      <c r="D11" s="2" t="str">
        <f aca="false">Personal!D11</f>
        <v>Gerencia</v>
      </c>
      <c r="E11" s="2" t="str">
        <f aca="false">Personal!E11</f>
        <v>Barranquilla</v>
      </c>
      <c r="F11" s="2" t="str">
        <f aca="false">Personal!F11</f>
        <v>Activo</v>
      </c>
      <c r="G11" s="3" t="n">
        <f aca="false">INDEX(Nomina!$C$2:$C$21,MATCH($A11,Nomina!$A$2:$A$21,0))</f>
        <v>2250000</v>
      </c>
      <c r="H11" s="3" t="n">
        <f aca="false">INDEX(Nomina!$D$2:$D$21,MATCH($A11,Nomina!$A$2:$A$21,0))</f>
        <v>200000</v>
      </c>
      <c r="I11" s="3" t="n">
        <f aca="false">INDEX(Nomina!$E$2:$E$21,MATCH($A11,Nomina!$A$2:$A$21,0))</f>
        <v>165000</v>
      </c>
      <c r="J11" s="3" t="n">
        <f aca="false">INDEX(Nomina!$F$2:$F$21,MATCH($A11,Nomina!$A$2:$A$21,0))</f>
        <v>2285000</v>
      </c>
      <c r="K11" s="2" t="str">
        <f aca="false">INDEX('Recursos Humanos'!$C$2:$C$21,MATCH($A11,'Recursos Humanos'!$A$2:$A$21,0))</f>
        <v>Comunicación</v>
      </c>
      <c r="L11" s="2" t="n">
        <f aca="false">INDEX('Recursos Humanos'!$D$2:$D$21,MATCH($A11,'Recursos Humanos'!$A$2:$A$21,0))</f>
        <v>10</v>
      </c>
      <c r="M11" s="2" t="str">
        <f aca="false">INDEX('Recursos Humanos'!$E$2:$E$21,MATCH($A11,'Recursos Humanos'!$A$2:$A$21,0))</f>
        <v>Satisfactorio</v>
      </c>
      <c r="N11" s="2" t="n">
        <f aca="false">INDEX('Recursos Humanos'!$F$2:$F$21,MATCH($A11,'Recursos Humanos'!$A$2:$A$21,0))</f>
        <v>3</v>
      </c>
    </row>
    <row r="12" customFormat="false" ht="15" hidden="false" customHeight="false" outlineLevel="0" collapsed="false">
      <c r="A12" s="2" t="n">
        <f aca="false">Personal!A12</f>
        <v>11</v>
      </c>
      <c r="B12" s="2" t="str">
        <f aca="false">Personal!B12</f>
        <v>Empleado 11</v>
      </c>
      <c r="C12" s="2" t="str">
        <f aca="false">Personal!C12</f>
        <v>Analista</v>
      </c>
      <c r="D12" s="2" t="str">
        <f aca="false">Personal!D12</f>
        <v>TI</v>
      </c>
      <c r="E12" s="2" t="str">
        <f aca="false">Personal!E12</f>
        <v>Bogotá</v>
      </c>
      <c r="F12" s="2" t="str">
        <f aca="false">Personal!F12</f>
        <v>Activo</v>
      </c>
      <c r="G12" s="3" t="n">
        <f aca="false">INDEX(Nomina!$C$2:$C$21,MATCH($A12,Nomina!$A$2:$A$21,0))</f>
        <v>2300000</v>
      </c>
      <c r="H12" s="3" t="n">
        <f aca="false">INDEX(Nomina!$D$2:$D$21,MATCH($A12,Nomina!$A$2:$A$21,0))</f>
        <v>200000</v>
      </c>
      <c r="I12" s="3" t="n">
        <f aca="false">INDEX(Nomina!$E$2:$E$21,MATCH($A12,Nomina!$A$2:$A$21,0))</f>
        <v>170000</v>
      </c>
      <c r="J12" s="3" t="n">
        <f aca="false">INDEX(Nomina!$F$2:$F$21,MATCH($A12,Nomina!$A$2:$A$21,0))</f>
        <v>2330000</v>
      </c>
      <c r="K12" s="2" t="str">
        <f aca="false">INDEX('Recursos Humanos'!$C$2:$C$21,MATCH($A12,'Recursos Humanos'!$A$2:$A$21,0))</f>
        <v>Seguridad</v>
      </c>
      <c r="L12" s="2" t="n">
        <f aca="false">INDEX('Recursos Humanos'!$D$2:$D$21,MATCH($A12,'Recursos Humanos'!$A$2:$A$21,0))</f>
        <v>8</v>
      </c>
      <c r="M12" s="2" t="str">
        <f aca="false">INDEX('Recursos Humanos'!$E$2:$E$21,MATCH($A12,'Recursos Humanos'!$A$2:$A$21,0))</f>
        <v>Excelente</v>
      </c>
      <c r="N12" s="2" t="n">
        <f aca="false">INDEX('Recursos Humanos'!$F$2:$F$21,MATCH($A12,'Recursos Humanos'!$A$2:$A$21,0))</f>
        <v>5</v>
      </c>
    </row>
    <row r="13" customFormat="false" ht="15" hidden="false" customHeight="false" outlineLevel="0" collapsed="false">
      <c r="A13" s="2" t="n">
        <f aca="false">Personal!A13</f>
        <v>12</v>
      </c>
      <c r="B13" s="2" t="str">
        <f aca="false">Personal!B13</f>
        <v>Empleado 12</v>
      </c>
      <c r="C13" s="2" t="str">
        <f aca="false">Personal!C13</f>
        <v>Desarrollador</v>
      </c>
      <c r="D13" s="2" t="str">
        <f aca="false">Personal!D13</f>
        <v>TI</v>
      </c>
      <c r="E13" s="2" t="str">
        <f aca="false">Personal!E13</f>
        <v>Medellín</v>
      </c>
      <c r="F13" s="2" t="str">
        <f aca="false">Personal!F13</f>
        <v>Activo</v>
      </c>
      <c r="G13" s="3" t="n">
        <f aca="false">INDEX(Nomina!$C$2:$C$21,MATCH($A13,Nomina!$A$2:$A$21,0))</f>
        <v>2350000</v>
      </c>
      <c r="H13" s="3" t="n">
        <f aca="false">INDEX(Nomina!$D$2:$D$21,MATCH($A13,Nomina!$A$2:$A$21,0))</f>
        <v>200000</v>
      </c>
      <c r="I13" s="3" t="n">
        <f aca="false">INDEX(Nomina!$E$2:$E$21,MATCH($A13,Nomina!$A$2:$A$21,0))</f>
        <v>175000</v>
      </c>
      <c r="J13" s="3" t="n">
        <f aca="false">INDEX(Nomina!$F$2:$F$21,MATCH($A13,Nomina!$A$2:$A$21,0))</f>
        <v>2375000</v>
      </c>
      <c r="K13" s="2" t="str">
        <f aca="false">INDEX('Recursos Humanos'!$C$2:$C$21,MATCH($A13,'Recursos Humanos'!$A$2:$A$21,0))</f>
        <v>Excel</v>
      </c>
      <c r="L13" s="2" t="n">
        <f aca="false">INDEX('Recursos Humanos'!$D$2:$D$21,MATCH($A13,'Recursos Humanos'!$A$2:$A$21,0))</f>
        <v>12</v>
      </c>
      <c r="M13" s="2" t="str">
        <f aca="false">INDEX('Recursos Humanos'!$E$2:$E$21,MATCH($A13,'Recursos Humanos'!$A$2:$A$21,0))</f>
        <v>Bueno</v>
      </c>
      <c r="N13" s="2" t="n">
        <f aca="false">INDEX('Recursos Humanos'!$F$2:$F$21,MATCH($A13,'Recursos Humanos'!$A$2:$A$21,0))</f>
        <v>4</v>
      </c>
    </row>
    <row r="14" customFormat="false" ht="15" hidden="false" customHeight="false" outlineLevel="0" collapsed="false">
      <c r="A14" s="2" t="n">
        <f aca="false">Personal!A14</f>
        <v>13</v>
      </c>
      <c r="B14" s="2" t="str">
        <f aca="false">Personal!B14</f>
        <v>Empleado 13</v>
      </c>
      <c r="C14" s="2" t="str">
        <f aca="false">Personal!C14</f>
        <v>Contador</v>
      </c>
      <c r="D14" s="2" t="str">
        <f aca="false">Personal!D14</f>
        <v>Finanzas</v>
      </c>
      <c r="E14" s="2" t="str">
        <f aca="false">Personal!E14</f>
        <v>Cali</v>
      </c>
      <c r="F14" s="2" t="str">
        <f aca="false">Personal!F14</f>
        <v>Activo</v>
      </c>
      <c r="G14" s="3" t="n">
        <f aca="false">INDEX(Nomina!$C$2:$C$21,MATCH($A14,Nomina!$A$2:$A$21,0))</f>
        <v>2400000</v>
      </c>
      <c r="H14" s="3" t="n">
        <f aca="false">INDEX(Nomina!$D$2:$D$21,MATCH($A14,Nomina!$A$2:$A$21,0))</f>
        <v>200000</v>
      </c>
      <c r="I14" s="3" t="n">
        <f aca="false">INDEX(Nomina!$E$2:$E$21,MATCH($A14,Nomina!$A$2:$A$21,0))</f>
        <v>180000</v>
      </c>
      <c r="J14" s="3" t="n">
        <f aca="false">INDEX(Nomina!$F$2:$F$21,MATCH($A14,Nomina!$A$2:$A$21,0))</f>
        <v>2420000</v>
      </c>
      <c r="K14" s="2" t="str">
        <f aca="false">INDEX('Recursos Humanos'!$C$2:$C$21,MATCH($A14,'Recursos Humanos'!$A$2:$A$21,0))</f>
        <v>Liderazgo</v>
      </c>
      <c r="L14" s="2" t="n">
        <f aca="false">INDEX('Recursos Humanos'!$D$2:$D$21,MATCH($A14,'Recursos Humanos'!$A$2:$A$21,0))</f>
        <v>6</v>
      </c>
      <c r="M14" s="2" t="str">
        <f aca="false">INDEX('Recursos Humanos'!$E$2:$E$21,MATCH($A14,'Recursos Humanos'!$A$2:$A$21,0))</f>
        <v>Bueno</v>
      </c>
      <c r="N14" s="2" t="n">
        <f aca="false">INDEX('Recursos Humanos'!$F$2:$F$21,MATCH($A14,'Recursos Humanos'!$A$2:$A$21,0))</f>
        <v>4</v>
      </c>
    </row>
    <row r="15" customFormat="false" ht="15" hidden="false" customHeight="false" outlineLevel="0" collapsed="false">
      <c r="A15" s="2" t="n">
        <f aca="false">Personal!A15</f>
        <v>14</v>
      </c>
      <c r="B15" s="2" t="str">
        <f aca="false">Personal!B15</f>
        <v>Empleado 14</v>
      </c>
      <c r="C15" s="2" t="str">
        <f aca="false">Personal!C15</f>
        <v>Asistente</v>
      </c>
      <c r="D15" s="2" t="str">
        <f aca="false">Personal!D15</f>
        <v>Administración</v>
      </c>
      <c r="E15" s="2" t="str">
        <f aca="false">Personal!E15</f>
        <v>Bogotá</v>
      </c>
      <c r="F15" s="2" t="str">
        <f aca="false">Personal!F15</f>
        <v>Activo</v>
      </c>
      <c r="G15" s="3" t="n">
        <f aca="false">INDEX(Nomina!$C$2:$C$21,MATCH($A15,Nomina!$A$2:$A$21,0))</f>
        <v>2450000</v>
      </c>
      <c r="H15" s="3" t="n">
        <f aca="false">INDEX(Nomina!$D$2:$D$21,MATCH($A15,Nomina!$A$2:$A$21,0))</f>
        <v>200000</v>
      </c>
      <c r="I15" s="3" t="n">
        <f aca="false">INDEX(Nomina!$E$2:$E$21,MATCH($A15,Nomina!$A$2:$A$21,0))</f>
        <v>185000</v>
      </c>
      <c r="J15" s="3" t="n">
        <f aca="false">INDEX(Nomina!$F$2:$F$21,MATCH($A15,Nomina!$A$2:$A$21,0))</f>
        <v>2465000</v>
      </c>
      <c r="K15" s="2" t="str">
        <f aca="false">INDEX('Recursos Humanos'!$C$2:$C$21,MATCH($A15,'Recursos Humanos'!$A$2:$A$21,0))</f>
        <v>Programación</v>
      </c>
      <c r="L15" s="2" t="n">
        <f aca="false">INDEX('Recursos Humanos'!$D$2:$D$21,MATCH($A15,'Recursos Humanos'!$A$2:$A$21,0))</f>
        <v>16</v>
      </c>
      <c r="M15" s="2" t="str">
        <f aca="false">INDEX('Recursos Humanos'!$E$2:$E$21,MATCH($A15,'Recursos Humanos'!$A$2:$A$21,0))</f>
        <v>Excelente</v>
      </c>
      <c r="N15" s="2" t="n">
        <f aca="false">INDEX('Recursos Humanos'!$F$2:$F$21,MATCH($A15,'Recursos Humanos'!$A$2:$A$21,0))</f>
        <v>5</v>
      </c>
    </row>
    <row r="16" customFormat="false" ht="15" hidden="false" customHeight="false" outlineLevel="0" collapsed="false">
      <c r="A16" s="2" t="n">
        <f aca="false">Personal!A16</f>
        <v>15</v>
      </c>
      <c r="B16" s="2" t="str">
        <f aca="false">Personal!B16</f>
        <v>Empleado 15</v>
      </c>
      <c r="C16" s="2" t="str">
        <f aca="false">Personal!C16</f>
        <v>Gerente</v>
      </c>
      <c r="D16" s="2" t="str">
        <f aca="false">Personal!D16</f>
        <v>Gerencia</v>
      </c>
      <c r="E16" s="2" t="str">
        <f aca="false">Personal!E16</f>
        <v>Barranquilla</v>
      </c>
      <c r="F16" s="2" t="str">
        <f aca="false">Personal!F16</f>
        <v>Activo</v>
      </c>
      <c r="G16" s="3" t="n">
        <f aca="false">INDEX(Nomina!$C$2:$C$21,MATCH($A16,Nomina!$A$2:$A$21,0))</f>
        <v>2500000</v>
      </c>
      <c r="H16" s="3" t="n">
        <f aca="false">INDEX(Nomina!$D$2:$D$21,MATCH($A16,Nomina!$A$2:$A$21,0))</f>
        <v>200000</v>
      </c>
      <c r="I16" s="3" t="n">
        <f aca="false">INDEX(Nomina!$E$2:$E$21,MATCH($A16,Nomina!$A$2:$A$21,0))</f>
        <v>190000</v>
      </c>
      <c r="J16" s="3" t="n">
        <f aca="false">INDEX(Nomina!$F$2:$F$21,MATCH($A16,Nomina!$A$2:$A$21,0))</f>
        <v>2510000</v>
      </c>
      <c r="K16" s="2" t="str">
        <f aca="false">INDEX('Recursos Humanos'!$C$2:$C$21,MATCH($A16,'Recursos Humanos'!$A$2:$A$21,0))</f>
        <v>Comunicación</v>
      </c>
      <c r="L16" s="2" t="n">
        <f aca="false">INDEX('Recursos Humanos'!$D$2:$D$21,MATCH($A16,'Recursos Humanos'!$A$2:$A$21,0))</f>
        <v>10</v>
      </c>
      <c r="M16" s="2" t="str">
        <f aca="false">INDEX('Recursos Humanos'!$E$2:$E$21,MATCH($A16,'Recursos Humanos'!$A$2:$A$21,0))</f>
        <v>Satisfactorio</v>
      </c>
      <c r="N16" s="2" t="n">
        <f aca="false">INDEX('Recursos Humanos'!$F$2:$F$21,MATCH($A16,'Recursos Humanos'!$A$2:$A$21,0))</f>
        <v>3</v>
      </c>
    </row>
    <row r="17" customFormat="false" ht="15" hidden="false" customHeight="false" outlineLevel="0" collapsed="false">
      <c r="A17" s="2" t="n">
        <f aca="false">Personal!A17</f>
        <v>16</v>
      </c>
      <c r="B17" s="2" t="str">
        <f aca="false">Personal!B17</f>
        <v>Empleado 16</v>
      </c>
      <c r="C17" s="2" t="str">
        <f aca="false">Personal!C17</f>
        <v>Analista</v>
      </c>
      <c r="D17" s="2" t="str">
        <f aca="false">Personal!D17</f>
        <v>TI</v>
      </c>
      <c r="E17" s="2" t="str">
        <f aca="false">Personal!E17</f>
        <v>Bogotá</v>
      </c>
      <c r="F17" s="2" t="str">
        <f aca="false">Personal!F17</f>
        <v>Activo</v>
      </c>
      <c r="G17" s="3" t="n">
        <f aca="false">INDEX(Nomina!$C$2:$C$21,MATCH($A17,Nomina!$A$2:$A$21,0))</f>
        <v>2550000</v>
      </c>
      <c r="H17" s="3" t="n">
        <f aca="false">INDEX(Nomina!$D$2:$D$21,MATCH($A17,Nomina!$A$2:$A$21,0))</f>
        <v>200000</v>
      </c>
      <c r="I17" s="3" t="n">
        <f aca="false">INDEX(Nomina!$E$2:$E$21,MATCH($A17,Nomina!$A$2:$A$21,0))</f>
        <v>195000</v>
      </c>
      <c r="J17" s="3" t="n">
        <f aca="false">INDEX(Nomina!$F$2:$F$21,MATCH($A17,Nomina!$A$2:$A$21,0))</f>
        <v>2555000</v>
      </c>
      <c r="K17" s="2" t="str">
        <f aca="false">INDEX('Recursos Humanos'!$C$2:$C$21,MATCH($A17,'Recursos Humanos'!$A$2:$A$21,0))</f>
        <v>Seguridad</v>
      </c>
      <c r="L17" s="2" t="n">
        <f aca="false">INDEX('Recursos Humanos'!$D$2:$D$21,MATCH($A17,'Recursos Humanos'!$A$2:$A$21,0))</f>
        <v>8</v>
      </c>
      <c r="M17" s="2" t="str">
        <f aca="false">INDEX('Recursos Humanos'!$E$2:$E$21,MATCH($A17,'Recursos Humanos'!$A$2:$A$21,0))</f>
        <v>Excelente</v>
      </c>
      <c r="N17" s="2" t="n">
        <f aca="false">INDEX('Recursos Humanos'!$F$2:$F$21,MATCH($A17,'Recursos Humanos'!$A$2:$A$21,0))</f>
        <v>5</v>
      </c>
    </row>
    <row r="18" customFormat="false" ht="15" hidden="false" customHeight="false" outlineLevel="0" collapsed="false">
      <c r="A18" s="2" t="n">
        <f aca="false">Personal!A18</f>
        <v>17</v>
      </c>
      <c r="B18" s="2" t="str">
        <f aca="false">Personal!B18</f>
        <v>Empleado 17</v>
      </c>
      <c r="C18" s="2" t="str">
        <f aca="false">Personal!C18</f>
        <v>Desarrollador</v>
      </c>
      <c r="D18" s="2" t="str">
        <f aca="false">Personal!D18</f>
        <v>TI</v>
      </c>
      <c r="E18" s="2" t="str">
        <f aca="false">Personal!E18</f>
        <v>Medellín</v>
      </c>
      <c r="F18" s="2" t="str">
        <f aca="false">Personal!F18</f>
        <v>Activo</v>
      </c>
      <c r="G18" s="3" t="n">
        <f aca="false">INDEX(Nomina!$C$2:$C$21,MATCH($A18,Nomina!$A$2:$A$21,0))</f>
        <v>2600000</v>
      </c>
      <c r="H18" s="3" t="n">
        <f aca="false">INDEX(Nomina!$D$2:$D$21,MATCH($A18,Nomina!$A$2:$A$21,0))</f>
        <v>200000</v>
      </c>
      <c r="I18" s="3" t="n">
        <f aca="false">INDEX(Nomina!$E$2:$E$21,MATCH($A18,Nomina!$A$2:$A$21,0))</f>
        <v>200000</v>
      </c>
      <c r="J18" s="3" t="n">
        <f aca="false">INDEX(Nomina!$F$2:$F$21,MATCH($A18,Nomina!$A$2:$A$21,0))</f>
        <v>2600000</v>
      </c>
      <c r="K18" s="2" t="str">
        <f aca="false">INDEX('Recursos Humanos'!$C$2:$C$21,MATCH($A18,'Recursos Humanos'!$A$2:$A$21,0))</f>
        <v>Excel</v>
      </c>
      <c r="L18" s="2" t="n">
        <f aca="false">INDEX('Recursos Humanos'!$D$2:$D$21,MATCH($A18,'Recursos Humanos'!$A$2:$A$21,0))</f>
        <v>12</v>
      </c>
      <c r="M18" s="2" t="str">
        <f aca="false">INDEX('Recursos Humanos'!$E$2:$E$21,MATCH($A18,'Recursos Humanos'!$A$2:$A$21,0))</f>
        <v>Bueno</v>
      </c>
      <c r="N18" s="2" t="n">
        <f aca="false">INDEX('Recursos Humanos'!$F$2:$F$21,MATCH($A18,'Recursos Humanos'!$A$2:$A$21,0))</f>
        <v>4</v>
      </c>
    </row>
    <row r="19" customFormat="false" ht="15" hidden="false" customHeight="false" outlineLevel="0" collapsed="false">
      <c r="A19" s="2" t="n">
        <f aca="false">Personal!A19</f>
        <v>18</v>
      </c>
      <c r="B19" s="2" t="str">
        <f aca="false">Personal!B19</f>
        <v>Empleado 18</v>
      </c>
      <c r="C19" s="2" t="str">
        <f aca="false">Personal!C19</f>
        <v>Contador</v>
      </c>
      <c r="D19" s="2" t="str">
        <f aca="false">Personal!D19</f>
        <v>Finanzas</v>
      </c>
      <c r="E19" s="2" t="str">
        <f aca="false">Personal!E19</f>
        <v>Cali</v>
      </c>
      <c r="F19" s="2" t="str">
        <f aca="false">Personal!F19</f>
        <v>Activo</v>
      </c>
      <c r="G19" s="3" t="n">
        <f aca="false">INDEX(Nomina!$C$2:$C$21,MATCH($A19,Nomina!$A$2:$A$21,0))</f>
        <v>2650000</v>
      </c>
      <c r="H19" s="3" t="n">
        <f aca="false">INDEX(Nomina!$D$2:$D$21,MATCH($A19,Nomina!$A$2:$A$21,0))</f>
        <v>200000</v>
      </c>
      <c r="I19" s="3" t="n">
        <f aca="false">INDEX(Nomina!$E$2:$E$21,MATCH($A19,Nomina!$A$2:$A$21,0))</f>
        <v>205000</v>
      </c>
      <c r="J19" s="3" t="n">
        <f aca="false">INDEX(Nomina!$F$2:$F$21,MATCH($A19,Nomina!$A$2:$A$21,0))</f>
        <v>2645000</v>
      </c>
      <c r="K19" s="2" t="str">
        <f aca="false">INDEX('Recursos Humanos'!$C$2:$C$21,MATCH($A19,'Recursos Humanos'!$A$2:$A$21,0))</f>
        <v>Liderazgo</v>
      </c>
      <c r="L19" s="2" t="n">
        <f aca="false">INDEX('Recursos Humanos'!$D$2:$D$21,MATCH($A19,'Recursos Humanos'!$A$2:$A$21,0))</f>
        <v>6</v>
      </c>
      <c r="M19" s="2" t="str">
        <f aca="false">INDEX('Recursos Humanos'!$E$2:$E$21,MATCH($A19,'Recursos Humanos'!$A$2:$A$21,0))</f>
        <v>Bueno</v>
      </c>
      <c r="N19" s="2" t="n">
        <f aca="false">INDEX('Recursos Humanos'!$F$2:$F$21,MATCH($A19,'Recursos Humanos'!$A$2:$A$21,0))</f>
        <v>4</v>
      </c>
    </row>
    <row r="20" customFormat="false" ht="15" hidden="false" customHeight="false" outlineLevel="0" collapsed="false">
      <c r="A20" s="2" t="n">
        <f aca="false">Personal!A20</f>
        <v>19</v>
      </c>
      <c r="B20" s="2" t="str">
        <f aca="false">Personal!B20</f>
        <v>Empleado 19</v>
      </c>
      <c r="C20" s="2" t="str">
        <f aca="false">Personal!C20</f>
        <v>Asistente</v>
      </c>
      <c r="D20" s="2" t="str">
        <f aca="false">Personal!D20</f>
        <v>Administración</v>
      </c>
      <c r="E20" s="2" t="str">
        <f aca="false">Personal!E20</f>
        <v>Bogotá</v>
      </c>
      <c r="F20" s="2" t="str">
        <f aca="false">Personal!F20</f>
        <v>Vacaciones</v>
      </c>
      <c r="G20" s="3" t="n">
        <f aca="false">INDEX(Nomina!$C$2:$C$21,MATCH($A20,Nomina!$A$2:$A$21,0))</f>
        <v>2700000</v>
      </c>
      <c r="H20" s="3" t="n">
        <f aca="false">INDEX(Nomina!$D$2:$D$21,MATCH($A20,Nomina!$A$2:$A$21,0))</f>
        <v>200000</v>
      </c>
      <c r="I20" s="3" t="n">
        <f aca="false">INDEX(Nomina!$E$2:$E$21,MATCH($A20,Nomina!$A$2:$A$21,0))</f>
        <v>210000</v>
      </c>
      <c r="J20" s="3" t="n">
        <f aca="false">INDEX(Nomina!$F$2:$F$21,MATCH($A20,Nomina!$A$2:$A$21,0))</f>
        <v>2690000</v>
      </c>
      <c r="K20" s="2" t="str">
        <f aca="false">INDEX('Recursos Humanos'!$C$2:$C$21,MATCH($A20,'Recursos Humanos'!$A$2:$A$21,0))</f>
        <v>Programación</v>
      </c>
      <c r="L20" s="2" t="n">
        <f aca="false">INDEX('Recursos Humanos'!$D$2:$D$21,MATCH($A20,'Recursos Humanos'!$A$2:$A$21,0))</f>
        <v>16</v>
      </c>
      <c r="M20" s="2" t="str">
        <f aca="false">INDEX('Recursos Humanos'!$E$2:$E$21,MATCH($A20,'Recursos Humanos'!$A$2:$A$21,0))</f>
        <v>Excelente</v>
      </c>
      <c r="N20" s="2" t="n">
        <f aca="false">INDEX('Recursos Humanos'!$F$2:$F$21,MATCH($A20,'Recursos Humanos'!$A$2:$A$21,0))</f>
        <v>5</v>
      </c>
    </row>
    <row r="21" customFormat="false" ht="15" hidden="false" customHeight="false" outlineLevel="0" collapsed="false">
      <c r="A21" s="2" t="n">
        <f aca="false">Personal!A21</f>
        <v>20</v>
      </c>
      <c r="B21" s="2" t="str">
        <f aca="false">Personal!B21</f>
        <v>Empleado 20</v>
      </c>
      <c r="C21" s="2" t="str">
        <f aca="false">Personal!C21</f>
        <v>Gerente</v>
      </c>
      <c r="D21" s="2" t="str">
        <f aca="false">Personal!D21</f>
        <v>Gerencia</v>
      </c>
      <c r="E21" s="2" t="str">
        <f aca="false">Personal!E21</f>
        <v>Barranquilla</v>
      </c>
      <c r="F21" s="2" t="str">
        <f aca="false">Personal!F21</f>
        <v>Licencia</v>
      </c>
      <c r="G21" s="3" t="n">
        <f aca="false">INDEX(Nomina!$C$2:$C$21,MATCH($A21,Nomina!$A$2:$A$21,0))</f>
        <v>2750000</v>
      </c>
      <c r="H21" s="3" t="n">
        <f aca="false">INDEX(Nomina!$D$2:$D$21,MATCH($A21,Nomina!$A$2:$A$21,0))</f>
        <v>200000</v>
      </c>
      <c r="I21" s="3" t="n">
        <f aca="false">INDEX(Nomina!$E$2:$E$21,MATCH($A21,Nomina!$A$2:$A$21,0))</f>
        <v>215000</v>
      </c>
      <c r="J21" s="3" t="n">
        <f aca="false">INDEX(Nomina!$F$2:$F$21,MATCH($A21,Nomina!$A$2:$A$21,0))</f>
        <v>2735000</v>
      </c>
      <c r="K21" s="2" t="str">
        <f aca="false">INDEX('Recursos Humanos'!$C$2:$C$21,MATCH($A21,'Recursos Humanos'!$A$2:$A$21,0))</f>
        <v>Comunicación</v>
      </c>
      <c r="L21" s="2" t="n">
        <f aca="false">INDEX('Recursos Humanos'!$D$2:$D$21,MATCH($A21,'Recursos Humanos'!$A$2:$A$21,0))</f>
        <v>10</v>
      </c>
      <c r="M21" s="2" t="str">
        <f aca="false">INDEX('Recursos Humanos'!$E$2:$E$21,MATCH($A21,'Recursos Humanos'!$A$2:$A$21,0))</f>
        <v>Satisfactorio</v>
      </c>
      <c r="N21" s="2" t="n">
        <f aca="false">INDEX('Recursos Humanos'!$F$2:$F$21,MATCH($A21,'Recursos Humanos'!$A$2:$A$21,0))</f>
        <v>3</v>
      </c>
    </row>
    <row r="24" customFormat="false" ht="15" hidden="false" customHeight="false" outlineLevel="0" collapsed="false">
      <c r="A24" s="4" t="s">
        <v>14</v>
      </c>
    </row>
    <row r="25" customFormat="false" ht="15" hidden="false" customHeight="false" outlineLevel="0" collapsed="false">
      <c r="A25" s="5" t="s">
        <v>15</v>
      </c>
      <c r="B25" s="5" t="n">
        <f aca="false">COUNTA(A2:A21)</f>
        <v>20</v>
      </c>
    </row>
    <row r="26" customFormat="false" ht="15" hidden="false" customHeight="false" outlineLevel="0" collapsed="false">
      <c r="A26" s="5" t="s">
        <v>16</v>
      </c>
      <c r="B26" s="5" t="n">
        <f aca="false">COUNTIF(F2:F21,"Activo")</f>
        <v>18</v>
      </c>
    </row>
    <row r="27" customFormat="false" ht="15" hidden="false" customHeight="false" outlineLevel="0" collapsed="false">
      <c r="A27" s="5" t="s">
        <v>17</v>
      </c>
      <c r="B27" s="6" t="n">
        <f aca="false">SUM(J2:J21)</f>
        <v>46150000</v>
      </c>
    </row>
    <row r="28" customFormat="false" ht="15" hidden="false" customHeight="false" outlineLevel="0" collapsed="false">
      <c r="A28" s="5" t="s">
        <v>18</v>
      </c>
      <c r="B28" s="6" t="n">
        <f aca="false">AVERAGE(J2:J21)</f>
        <v>2307500</v>
      </c>
    </row>
    <row r="29" customFormat="false" ht="15" hidden="false" customHeight="false" outlineLevel="0" collapsed="false">
      <c r="A29" s="5" t="s">
        <v>19</v>
      </c>
      <c r="B29" s="5" t="n">
        <f aca="false">SUM(L2:L21)</f>
        <v>208</v>
      </c>
    </row>
    <row r="30" customFormat="false" ht="15" hidden="false" customHeight="false" outlineLevel="0" collapsed="false">
      <c r="A30" s="5" t="s">
        <v>20</v>
      </c>
      <c r="B30" s="5" t="n">
        <f aca="false">AVERAGE(N2:N21)</f>
        <v>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21</v>
      </c>
      <c r="B1" s="7" t="s">
        <v>22</v>
      </c>
      <c r="C1" s="7" t="s">
        <v>6</v>
      </c>
      <c r="D1" s="7" t="s">
        <v>7</v>
      </c>
      <c r="E1" s="7" t="s">
        <v>8</v>
      </c>
      <c r="F1" s="7" t="s">
        <v>9</v>
      </c>
    </row>
    <row r="2" customFormat="false" ht="15" hidden="false" customHeight="false" outlineLevel="0" collapsed="false">
      <c r="A2" s="0" t="n">
        <v>1</v>
      </c>
      <c r="B2" s="0" t="s">
        <v>23</v>
      </c>
      <c r="C2" s="0" t="n">
        <v>1800000</v>
      </c>
      <c r="D2" s="0" t="n">
        <v>200000</v>
      </c>
      <c r="E2" s="0" t="n">
        <v>120000</v>
      </c>
      <c r="F2" s="0" t="n">
        <v>1880000</v>
      </c>
    </row>
    <row r="3" customFormat="false" ht="15" hidden="false" customHeight="false" outlineLevel="0" collapsed="false">
      <c r="A3" s="0" t="n">
        <v>2</v>
      </c>
      <c r="B3" s="0" t="s">
        <v>24</v>
      </c>
      <c r="C3" s="0" t="n">
        <v>1850000</v>
      </c>
      <c r="D3" s="0" t="n">
        <v>200000</v>
      </c>
      <c r="E3" s="0" t="n">
        <v>125000</v>
      </c>
      <c r="F3" s="0" t="n">
        <v>1925000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n">
        <v>1900000</v>
      </c>
      <c r="D4" s="0" t="n">
        <v>200000</v>
      </c>
      <c r="E4" s="0" t="n">
        <v>130000</v>
      </c>
      <c r="F4" s="0" t="n">
        <v>1970000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n">
        <v>1950000</v>
      </c>
      <c r="D5" s="0" t="n">
        <v>200000</v>
      </c>
      <c r="E5" s="0" t="n">
        <v>135000</v>
      </c>
      <c r="F5" s="0" t="n">
        <v>2015000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n">
        <v>2000000</v>
      </c>
      <c r="D6" s="0" t="n">
        <v>200000</v>
      </c>
      <c r="E6" s="0" t="n">
        <v>140000</v>
      </c>
      <c r="F6" s="0" t="n">
        <v>2060000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n">
        <v>2050000</v>
      </c>
      <c r="D7" s="0" t="n">
        <v>200000</v>
      </c>
      <c r="E7" s="0" t="n">
        <v>145000</v>
      </c>
      <c r="F7" s="0" t="n">
        <v>2105000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n">
        <v>2100000</v>
      </c>
      <c r="D8" s="0" t="n">
        <v>200000</v>
      </c>
      <c r="E8" s="0" t="n">
        <v>150000</v>
      </c>
      <c r="F8" s="0" t="n">
        <v>2150000</v>
      </c>
    </row>
    <row r="9" customFormat="false" ht="15" hidden="false" customHeight="false" outlineLevel="0" collapsed="false">
      <c r="A9" s="0" t="n">
        <v>8</v>
      </c>
      <c r="B9" s="0" t="s">
        <v>30</v>
      </c>
      <c r="C9" s="0" t="n">
        <v>2150000</v>
      </c>
      <c r="D9" s="0" t="n">
        <v>200000</v>
      </c>
      <c r="E9" s="0" t="n">
        <v>155000</v>
      </c>
      <c r="F9" s="0" t="n">
        <v>2195000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n">
        <v>2200000</v>
      </c>
      <c r="D10" s="0" t="n">
        <v>200000</v>
      </c>
      <c r="E10" s="0" t="n">
        <v>160000</v>
      </c>
      <c r="F10" s="0" t="n">
        <v>2240000</v>
      </c>
    </row>
    <row r="11" customFormat="false" ht="15" hidden="false" customHeight="false" outlineLevel="0" collapsed="false">
      <c r="A11" s="0" t="n">
        <v>10</v>
      </c>
      <c r="B11" s="0" t="s">
        <v>32</v>
      </c>
      <c r="C11" s="0" t="n">
        <v>2250000</v>
      </c>
      <c r="D11" s="0" t="n">
        <v>200000</v>
      </c>
      <c r="E11" s="0" t="n">
        <v>165000</v>
      </c>
      <c r="F11" s="0" t="n">
        <v>2285000</v>
      </c>
    </row>
    <row r="12" customFormat="false" ht="15" hidden="false" customHeight="false" outlineLevel="0" collapsed="false">
      <c r="A12" s="0" t="n">
        <v>11</v>
      </c>
      <c r="B12" s="0" t="s">
        <v>33</v>
      </c>
      <c r="C12" s="0" t="n">
        <v>2300000</v>
      </c>
      <c r="D12" s="0" t="n">
        <v>200000</v>
      </c>
      <c r="E12" s="0" t="n">
        <v>170000</v>
      </c>
      <c r="F12" s="0" t="n">
        <v>2330000</v>
      </c>
    </row>
    <row r="13" customFormat="false" ht="15" hidden="false" customHeight="false" outlineLevel="0" collapsed="false">
      <c r="A13" s="0" t="n">
        <v>12</v>
      </c>
      <c r="B13" s="0" t="s">
        <v>34</v>
      </c>
      <c r="C13" s="0" t="n">
        <v>2350000</v>
      </c>
      <c r="D13" s="0" t="n">
        <v>200000</v>
      </c>
      <c r="E13" s="0" t="n">
        <v>175000</v>
      </c>
      <c r="F13" s="0" t="n">
        <v>2375000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n">
        <v>2400000</v>
      </c>
      <c r="D14" s="0" t="n">
        <v>200000</v>
      </c>
      <c r="E14" s="0" t="n">
        <v>180000</v>
      </c>
      <c r="F14" s="0" t="n">
        <v>2420000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n">
        <v>2450000</v>
      </c>
      <c r="D15" s="0" t="n">
        <v>200000</v>
      </c>
      <c r="E15" s="0" t="n">
        <v>185000</v>
      </c>
      <c r="F15" s="0" t="n">
        <v>2465000</v>
      </c>
    </row>
    <row r="16" customFormat="false" ht="15" hidden="false" customHeight="false" outlineLevel="0" collapsed="false">
      <c r="A16" s="0" t="n">
        <v>15</v>
      </c>
      <c r="B16" s="0" t="s">
        <v>37</v>
      </c>
      <c r="C16" s="0" t="n">
        <v>2500000</v>
      </c>
      <c r="D16" s="0" t="n">
        <v>200000</v>
      </c>
      <c r="E16" s="0" t="n">
        <v>190000</v>
      </c>
      <c r="F16" s="0" t="n">
        <v>2510000</v>
      </c>
    </row>
    <row r="17" customFormat="false" ht="15" hidden="false" customHeight="false" outlineLevel="0" collapsed="false">
      <c r="A17" s="0" t="n">
        <v>16</v>
      </c>
      <c r="B17" s="0" t="s">
        <v>38</v>
      </c>
      <c r="C17" s="0" t="n">
        <v>2550000</v>
      </c>
      <c r="D17" s="0" t="n">
        <v>200000</v>
      </c>
      <c r="E17" s="0" t="n">
        <v>195000</v>
      </c>
      <c r="F17" s="0" t="n">
        <v>2555000</v>
      </c>
    </row>
    <row r="18" customFormat="false" ht="15" hidden="false" customHeight="false" outlineLevel="0" collapsed="false">
      <c r="A18" s="0" t="n">
        <v>17</v>
      </c>
      <c r="B18" s="0" t="s">
        <v>39</v>
      </c>
      <c r="C18" s="0" t="n">
        <v>2600000</v>
      </c>
      <c r="D18" s="0" t="n">
        <v>200000</v>
      </c>
      <c r="E18" s="0" t="n">
        <v>200000</v>
      </c>
      <c r="F18" s="0" t="n">
        <v>2600000</v>
      </c>
    </row>
    <row r="19" customFormat="false" ht="15" hidden="false" customHeight="false" outlineLevel="0" collapsed="false">
      <c r="A19" s="0" t="n">
        <v>18</v>
      </c>
      <c r="B19" s="0" t="s">
        <v>40</v>
      </c>
      <c r="C19" s="0" t="n">
        <v>2650000</v>
      </c>
      <c r="D19" s="0" t="n">
        <v>200000</v>
      </c>
      <c r="E19" s="0" t="n">
        <v>205000</v>
      </c>
      <c r="F19" s="0" t="n">
        <v>2645000</v>
      </c>
    </row>
    <row r="20" customFormat="false" ht="15" hidden="false" customHeight="false" outlineLevel="0" collapsed="false">
      <c r="A20" s="0" t="n">
        <v>19</v>
      </c>
      <c r="B20" s="0" t="s">
        <v>41</v>
      </c>
      <c r="C20" s="0" t="n">
        <v>2700000</v>
      </c>
      <c r="D20" s="0" t="n">
        <v>200000</v>
      </c>
      <c r="E20" s="0" t="n">
        <v>210000</v>
      </c>
      <c r="F20" s="0" t="n">
        <v>2690000</v>
      </c>
    </row>
    <row r="21" customFormat="false" ht="15" hidden="false" customHeight="false" outlineLevel="0" collapsed="false">
      <c r="A21" s="0" t="n">
        <v>20</v>
      </c>
      <c r="B21" s="0" t="s">
        <v>42</v>
      </c>
      <c r="C21" s="0" t="n">
        <v>2750000</v>
      </c>
      <c r="D21" s="0" t="n">
        <v>200000</v>
      </c>
      <c r="E21" s="0" t="n">
        <v>215000</v>
      </c>
      <c r="F21" s="0" t="n">
        <v>2735000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customFormat="false" ht="15" hidden="false" customHeight="false" outlineLevel="0" collapsed="false">
      <c r="A2" s="0" t="n">
        <v>1</v>
      </c>
      <c r="B2" s="0" t="s">
        <v>23</v>
      </c>
      <c r="C2" s="0" t="s">
        <v>43</v>
      </c>
      <c r="D2" s="0" t="s">
        <v>44</v>
      </c>
      <c r="E2" s="0" t="s">
        <v>45</v>
      </c>
      <c r="F2" s="0" t="s">
        <v>46</v>
      </c>
    </row>
    <row r="3" customFormat="false" ht="15" hidden="false" customHeight="false" outlineLevel="0" collapsed="false">
      <c r="A3" s="0" t="n">
        <v>2</v>
      </c>
      <c r="B3" s="0" t="s">
        <v>24</v>
      </c>
      <c r="C3" s="0" t="s">
        <v>47</v>
      </c>
      <c r="D3" s="0" t="s">
        <v>44</v>
      </c>
      <c r="E3" s="0" t="s">
        <v>48</v>
      </c>
      <c r="F3" s="0" t="s">
        <v>46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49</v>
      </c>
      <c r="D4" s="0" t="s">
        <v>50</v>
      </c>
      <c r="E4" s="0" t="s">
        <v>51</v>
      </c>
      <c r="F4" s="0" t="s">
        <v>46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s">
        <v>52</v>
      </c>
      <c r="D5" s="0" t="s">
        <v>53</v>
      </c>
      <c r="E5" s="0" t="s">
        <v>45</v>
      </c>
      <c r="F5" s="0" t="s">
        <v>46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s">
        <v>54</v>
      </c>
      <c r="D6" s="0" t="s">
        <v>55</v>
      </c>
      <c r="E6" s="0" t="s">
        <v>56</v>
      </c>
      <c r="F6" s="0" t="s">
        <v>46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43</v>
      </c>
      <c r="D7" s="0" t="s">
        <v>44</v>
      </c>
      <c r="E7" s="0" t="s">
        <v>45</v>
      </c>
      <c r="F7" s="0" t="s">
        <v>46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s">
        <v>47</v>
      </c>
      <c r="D8" s="0" t="s">
        <v>44</v>
      </c>
      <c r="E8" s="0" t="s">
        <v>48</v>
      </c>
      <c r="F8" s="0" t="s">
        <v>46</v>
      </c>
    </row>
    <row r="9" customFormat="false" ht="15" hidden="false" customHeight="false" outlineLevel="0" collapsed="false">
      <c r="A9" s="0" t="n">
        <v>8</v>
      </c>
      <c r="B9" s="0" t="s">
        <v>30</v>
      </c>
      <c r="C9" s="0" t="s">
        <v>49</v>
      </c>
      <c r="D9" s="0" t="s">
        <v>50</v>
      </c>
      <c r="E9" s="0" t="s">
        <v>51</v>
      </c>
      <c r="F9" s="0" t="s">
        <v>46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s">
        <v>52</v>
      </c>
      <c r="D10" s="0" t="s">
        <v>53</v>
      </c>
      <c r="E10" s="0" t="s">
        <v>45</v>
      </c>
      <c r="F10" s="0" t="s">
        <v>46</v>
      </c>
    </row>
    <row r="11" customFormat="false" ht="15" hidden="false" customHeight="false" outlineLevel="0" collapsed="false">
      <c r="A11" s="0" t="n">
        <v>10</v>
      </c>
      <c r="B11" s="0" t="s">
        <v>32</v>
      </c>
      <c r="C11" s="0" t="s">
        <v>54</v>
      </c>
      <c r="D11" s="0" t="s">
        <v>55</v>
      </c>
      <c r="E11" s="0" t="s">
        <v>56</v>
      </c>
      <c r="F11" s="0" t="s">
        <v>46</v>
      </c>
    </row>
    <row r="12" customFormat="false" ht="15" hidden="false" customHeight="false" outlineLevel="0" collapsed="false">
      <c r="A12" s="0" t="n">
        <v>11</v>
      </c>
      <c r="B12" s="0" t="s">
        <v>33</v>
      </c>
      <c r="C12" s="0" t="s">
        <v>43</v>
      </c>
      <c r="D12" s="0" t="s">
        <v>44</v>
      </c>
      <c r="E12" s="0" t="s">
        <v>45</v>
      </c>
      <c r="F12" s="0" t="s">
        <v>46</v>
      </c>
    </row>
    <row r="13" customFormat="false" ht="15" hidden="false" customHeight="false" outlineLevel="0" collapsed="false">
      <c r="A13" s="0" t="n">
        <v>12</v>
      </c>
      <c r="B13" s="0" t="s">
        <v>34</v>
      </c>
      <c r="C13" s="0" t="s">
        <v>47</v>
      </c>
      <c r="D13" s="0" t="s">
        <v>44</v>
      </c>
      <c r="E13" s="0" t="s">
        <v>48</v>
      </c>
      <c r="F13" s="0" t="s">
        <v>46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49</v>
      </c>
      <c r="D14" s="0" t="s">
        <v>50</v>
      </c>
      <c r="E14" s="0" t="s">
        <v>51</v>
      </c>
      <c r="F14" s="0" t="s">
        <v>46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52</v>
      </c>
      <c r="D15" s="0" t="s">
        <v>53</v>
      </c>
      <c r="E15" s="0" t="s">
        <v>45</v>
      </c>
      <c r="F15" s="0" t="s">
        <v>46</v>
      </c>
    </row>
    <row r="16" customFormat="false" ht="15" hidden="false" customHeight="false" outlineLevel="0" collapsed="false">
      <c r="A16" s="0" t="n">
        <v>15</v>
      </c>
      <c r="B16" s="0" t="s">
        <v>37</v>
      </c>
      <c r="C16" s="0" t="s">
        <v>54</v>
      </c>
      <c r="D16" s="0" t="s">
        <v>55</v>
      </c>
      <c r="E16" s="0" t="s">
        <v>56</v>
      </c>
      <c r="F16" s="0" t="s">
        <v>46</v>
      </c>
    </row>
    <row r="17" customFormat="false" ht="15" hidden="false" customHeight="false" outlineLevel="0" collapsed="false">
      <c r="A17" s="0" t="n">
        <v>16</v>
      </c>
      <c r="B17" s="0" t="s">
        <v>38</v>
      </c>
      <c r="C17" s="0" t="s">
        <v>43</v>
      </c>
      <c r="D17" s="0" t="s">
        <v>44</v>
      </c>
      <c r="E17" s="0" t="s">
        <v>45</v>
      </c>
      <c r="F17" s="0" t="s">
        <v>46</v>
      </c>
    </row>
    <row r="18" customFormat="false" ht="15" hidden="false" customHeight="false" outlineLevel="0" collapsed="false">
      <c r="A18" s="0" t="n">
        <v>17</v>
      </c>
      <c r="B18" s="0" t="s">
        <v>39</v>
      </c>
      <c r="C18" s="0" t="s">
        <v>47</v>
      </c>
      <c r="D18" s="0" t="s">
        <v>44</v>
      </c>
      <c r="E18" s="0" t="s">
        <v>48</v>
      </c>
      <c r="F18" s="0" t="s">
        <v>46</v>
      </c>
    </row>
    <row r="19" customFormat="false" ht="15" hidden="false" customHeight="false" outlineLevel="0" collapsed="false">
      <c r="A19" s="0" t="n">
        <v>18</v>
      </c>
      <c r="B19" s="0" t="s">
        <v>40</v>
      </c>
      <c r="C19" s="0" t="s">
        <v>49</v>
      </c>
      <c r="D19" s="0" t="s">
        <v>50</v>
      </c>
      <c r="E19" s="0" t="s">
        <v>51</v>
      </c>
      <c r="F19" s="0" t="s">
        <v>46</v>
      </c>
    </row>
    <row r="20" customFormat="false" ht="15" hidden="false" customHeight="false" outlineLevel="0" collapsed="false">
      <c r="A20" s="0" t="n">
        <v>19</v>
      </c>
      <c r="B20" s="0" t="s">
        <v>41</v>
      </c>
      <c r="C20" s="0" t="s">
        <v>52</v>
      </c>
      <c r="D20" s="0" t="s">
        <v>53</v>
      </c>
      <c r="E20" s="0" t="s">
        <v>45</v>
      </c>
      <c r="F20" s="0" t="s">
        <v>57</v>
      </c>
    </row>
    <row r="21" customFormat="false" ht="15" hidden="false" customHeight="false" outlineLevel="0" collapsed="false">
      <c r="A21" s="0" t="n">
        <v>20</v>
      </c>
      <c r="B21" s="0" t="s">
        <v>42</v>
      </c>
      <c r="C21" s="0" t="s">
        <v>54</v>
      </c>
      <c r="D21" s="0" t="s">
        <v>55</v>
      </c>
      <c r="E21" s="0" t="s">
        <v>56</v>
      </c>
      <c r="F21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59</v>
      </c>
      <c r="B1" s="7" t="s">
        <v>22</v>
      </c>
      <c r="C1" s="7" t="s">
        <v>10</v>
      </c>
      <c r="D1" s="7" t="s">
        <v>11</v>
      </c>
      <c r="E1" s="7" t="s">
        <v>12</v>
      </c>
      <c r="F1" s="7" t="s">
        <v>13</v>
      </c>
    </row>
    <row r="2" customFormat="false" ht="15" hidden="false" customHeight="false" outlineLevel="0" collapsed="false">
      <c r="A2" s="0" t="n">
        <v>1</v>
      </c>
      <c r="B2" s="0" t="s">
        <v>23</v>
      </c>
      <c r="C2" s="0" t="s">
        <v>60</v>
      </c>
      <c r="D2" s="0" t="n">
        <v>8</v>
      </c>
      <c r="E2" s="0" t="s">
        <v>61</v>
      </c>
      <c r="F2" s="0" t="n">
        <v>5</v>
      </c>
    </row>
    <row r="3" customFormat="false" ht="15" hidden="false" customHeight="false" outlineLevel="0" collapsed="false">
      <c r="A3" s="0" t="n">
        <v>2</v>
      </c>
      <c r="B3" s="0" t="s">
        <v>24</v>
      </c>
      <c r="C3" s="0" t="s">
        <v>62</v>
      </c>
      <c r="D3" s="0" t="n">
        <v>12</v>
      </c>
      <c r="E3" s="0" t="s">
        <v>63</v>
      </c>
      <c r="F3" s="0" t="n">
        <v>4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s">
        <v>64</v>
      </c>
      <c r="D4" s="0" t="n">
        <v>6</v>
      </c>
      <c r="E4" s="0" t="s">
        <v>63</v>
      </c>
      <c r="F4" s="0" t="n">
        <v>4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s">
        <v>65</v>
      </c>
      <c r="D5" s="0" t="n">
        <v>16</v>
      </c>
      <c r="E5" s="0" t="s">
        <v>61</v>
      </c>
      <c r="F5" s="0" t="n">
        <v>5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s">
        <v>66</v>
      </c>
      <c r="D6" s="0" t="n">
        <v>10</v>
      </c>
      <c r="E6" s="0" t="s">
        <v>67</v>
      </c>
      <c r="F6" s="0" t="n">
        <v>3</v>
      </c>
    </row>
    <row r="7" customFormat="false" ht="15" hidden="false" customHeight="false" outlineLevel="0" collapsed="false">
      <c r="A7" s="0" t="n">
        <v>6</v>
      </c>
      <c r="B7" s="0" t="s">
        <v>28</v>
      </c>
      <c r="C7" s="0" t="s">
        <v>60</v>
      </c>
      <c r="D7" s="0" t="n">
        <v>8</v>
      </c>
      <c r="E7" s="0" t="s">
        <v>61</v>
      </c>
      <c r="F7" s="0" t="n">
        <v>5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s">
        <v>62</v>
      </c>
      <c r="D8" s="0" t="n">
        <v>12</v>
      </c>
      <c r="E8" s="0" t="s">
        <v>63</v>
      </c>
      <c r="F8" s="0" t="n">
        <v>4</v>
      </c>
    </row>
    <row r="9" customFormat="false" ht="15" hidden="false" customHeight="false" outlineLevel="0" collapsed="false">
      <c r="A9" s="0" t="n">
        <v>8</v>
      </c>
      <c r="B9" s="0" t="s">
        <v>30</v>
      </c>
      <c r="C9" s="0" t="s">
        <v>64</v>
      </c>
      <c r="D9" s="0" t="n">
        <v>6</v>
      </c>
      <c r="E9" s="0" t="s">
        <v>63</v>
      </c>
      <c r="F9" s="0" t="n">
        <v>4</v>
      </c>
    </row>
    <row r="10" customFormat="false" ht="15" hidden="false" customHeight="false" outlineLevel="0" collapsed="false">
      <c r="A10" s="0" t="n">
        <v>9</v>
      </c>
      <c r="B10" s="0" t="s">
        <v>31</v>
      </c>
      <c r="C10" s="0" t="s">
        <v>65</v>
      </c>
      <c r="D10" s="0" t="n">
        <v>16</v>
      </c>
      <c r="E10" s="0" t="s">
        <v>61</v>
      </c>
      <c r="F10" s="0" t="n">
        <v>5</v>
      </c>
    </row>
    <row r="11" customFormat="false" ht="15" hidden="false" customHeight="false" outlineLevel="0" collapsed="false">
      <c r="A11" s="0" t="n">
        <v>10</v>
      </c>
      <c r="B11" s="0" t="s">
        <v>32</v>
      </c>
      <c r="C11" s="0" t="s">
        <v>66</v>
      </c>
      <c r="D11" s="0" t="n">
        <v>10</v>
      </c>
      <c r="E11" s="0" t="s">
        <v>67</v>
      </c>
      <c r="F11" s="0" t="n">
        <v>3</v>
      </c>
    </row>
    <row r="12" customFormat="false" ht="15" hidden="false" customHeight="false" outlineLevel="0" collapsed="false">
      <c r="A12" s="0" t="n">
        <v>11</v>
      </c>
      <c r="B12" s="0" t="s">
        <v>33</v>
      </c>
      <c r="C12" s="0" t="s">
        <v>60</v>
      </c>
      <c r="D12" s="0" t="n">
        <v>8</v>
      </c>
      <c r="E12" s="0" t="s">
        <v>61</v>
      </c>
      <c r="F12" s="0" t="n">
        <v>5</v>
      </c>
    </row>
    <row r="13" customFormat="false" ht="15" hidden="false" customHeight="false" outlineLevel="0" collapsed="false">
      <c r="A13" s="0" t="n">
        <v>12</v>
      </c>
      <c r="B13" s="0" t="s">
        <v>34</v>
      </c>
      <c r="C13" s="0" t="s">
        <v>62</v>
      </c>
      <c r="D13" s="0" t="n">
        <v>12</v>
      </c>
      <c r="E13" s="0" t="s">
        <v>63</v>
      </c>
      <c r="F13" s="0" t="n">
        <v>4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64</v>
      </c>
      <c r="D14" s="0" t="n">
        <v>6</v>
      </c>
      <c r="E14" s="0" t="s">
        <v>63</v>
      </c>
      <c r="F14" s="0" t="n">
        <v>4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65</v>
      </c>
      <c r="D15" s="0" t="n">
        <v>16</v>
      </c>
      <c r="E15" s="0" t="s">
        <v>61</v>
      </c>
      <c r="F15" s="0" t="n">
        <v>5</v>
      </c>
    </row>
    <row r="16" customFormat="false" ht="15" hidden="false" customHeight="false" outlineLevel="0" collapsed="false">
      <c r="A16" s="0" t="n">
        <v>15</v>
      </c>
      <c r="B16" s="0" t="s">
        <v>37</v>
      </c>
      <c r="C16" s="0" t="s">
        <v>66</v>
      </c>
      <c r="D16" s="0" t="n">
        <v>10</v>
      </c>
      <c r="E16" s="0" t="s">
        <v>67</v>
      </c>
      <c r="F16" s="0" t="n">
        <v>3</v>
      </c>
    </row>
    <row r="17" customFormat="false" ht="15" hidden="false" customHeight="false" outlineLevel="0" collapsed="false">
      <c r="A17" s="0" t="n">
        <v>16</v>
      </c>
      <c r="B17" s="0" t="s">
        <v>38</v>
      </c>
      <c r="C17" s="0" t="s">
        <v>60</v>
      </c>
      <c r="D17" s="0" t="n">
        <v>8</v>
      </c>
      <c r="E17" s="0" t="s">
        <v>61</v>
      </c>
      <c r="F17" s="0" t="n">
        <v>5</v>
      </c>
    </row>
    <row r="18" customFormat="false" ht="15" hidden="false" customHeight="false" outlineLevel="0" collapsed="false">
      <c r="A18" s="0" t="n">
        <v>17</v>
      </c>
      <c r="B18" s="0" t="s">
        <v>39</v>
      </c>
      <c r="C18" s="0" t="s">
        <v>62</v>
      </c>
      <c r="D18" s="0" t="n">
        <v>12</v>
      </c>
      <c r="E18" s="0" t="s">
        <v>63</v>
      </c>
      <c r="F18" s="0" t="n">
        <v>4</v>
      </c>
    </row>
    <row r="19" customFormat="false" ht="15" hidden="false" customHeight="false" outlineLevel="0" collapsed="false">
      <c r="A19" s="0" t="n">
        <v>18</v>
      </c>
      <c r="B19" s="0" t="s">
        <v>40</v>
      </c>
      <c r="C19" s="0" t="s">
        <v>64</v>
      </c>
      <c r="D19" s="0" t="n">
        <v>6</v>
      </c>
      <c r="E19" s="0" t="s">
        <v>63</v>
      </c>
      <c r="F19" s="0" t="n">
        <v>4</v>
      </c>
    </row>
    <row r="20" customFormat="false" ht="15" hidden="false" customHeight="false" outlineLevel="0" collapsed="false">
      <c r="A20" s="0" t="n">
        <v>19</v>
      </c>
      <c r="B20" s="0" t="s">
        <v>41</v>
      </c>
      <c r="C20" s="0" t="s">
        <v>65</v>
      </c>
      <c r="D20" s="0" t="n">
        <v>16</v>
      </c>
      <c r="E20" s="0" t="s">
        <v>61</v>
      </c>
      <c r="F20" s="0" t="n">
        <v>5</v>
      </c>
    </row>
    <row r="21" customFormat="false" ht="15" hidden="false" customHeight="false" outlineLevel="0" collapsed="false">
      <c r="A21" s="0" t="n">
        <v>20</v>
      </c>
      <c r="B21" s="0" t="s">
        <v>42</v>
      </c>
      <c r="C21" s="0" t="s">
        <v>66</v>
      </c>
      <c r="D21" s="0" t="n">
        <v>10</v>
      </c>
      <c r="E21" s="0" t="s">
        <v>67</v>
      </c>
      <c r="F2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68</v>
      </c>
      <c r="B1" s="7" t="s">
        <v>69</v>
      </c>
      <c r="C1" s="7" t="s">
        <v>2</v>
      </c>
      <c r="D1" s="7" t="s">
        <v>70</v>
      </c>
      <c r="E1" s="7" t="s">
        <v>71</v>
      </c>
      <c r="F1" s="7" t="s">
        <v>5</v>
      </c>
    </row>
    <row r="2" customFormat="false" ht="15" hidden="false" customHeight="false" outlineLevel="0" collapsed="false">
      <c r="A2" s="0" t="n">
        <v>1</v>
      </c>
      <c r="B2" s="0" t="s">
        <v>72</v>
      </c>
      <c r="C2" s="0" t="s">
        <v>43</v>
      </c>
      <c r="D2" s="0" t="s">
        <v>73</v>
      </c>
      <c r="E2" s="8" t="n">
        <v>46027</v>
      </c>
      <c r="F2" s="9" t="s">
        <v>74</v>
      </c>
    </row>
    <row r="3" customFormat="false" ht="15" hidden="false" customHeight="false" outlineLevel="0" collapsed="false">
      <c r="A3" s="0" t="n">
        <v>2</v>
      </c>
      <c r="B3" s="0" t="s">
        <v>75</v>
      </c>
      <c r="C3" s="0" t="s">
        <v>47</v>
      </c>
      <c r="D3" s="0" t="s">
        <v>76</v>
      </c>
      <c r="E3" s="8" t="n">
        <v>46037</v>
      </c>
      <c r="F3" s="9" t="s">
        <v>77</v>
      </c>
    </row>
    <row r="4" customFormat="false" ht="15" hidden="false" customHeight="false" outlineLevel="0" collapsed="false">
      <c r="A4" s="0" t="n">
        <v>3</v>
      </c>
      <c r="B4" s="0" t="s">
        <v>78</v>
      </c>
      <c r="C4" s="0" t="s">
        <v>49</v>
      </c>
      <c r="D4" s="0" t="s">
        <v>79</v>
      </c>
      <c r="E4" s="8" t="n">
        <v>46047</v>
      </c>
      <c r="F4" s="9" t="s">
        <v>80</v>
      </c>
    </row>
    <row r="5" customFormat="false" ht="15" hidden="false" customHeight="false" outlineLevel="0" collapsed="false">
      <c r="A5" s="0" t="n">
        <v>4</v>
      </c>
      <c r="B5" s="0" t="s">
        <v>81</v>
      </c>
      <c r="C5" s="0" t="s">
        <v>52</v>
      </c>
      <c r="D5" s="0" t="s">
        <v>73</v>
      </c>
      <c r="E5" s="8" t="n">
        <v>46057</v>
      </c>
      <c r="F5" s="9" t="s">
        <v>74</v>
      </c>
    </row>
    <row r="6" customFormat="false" ht="15" hidden="false" customHeight="false" outlineLevel="0" collapsed="false">
      <c r="A6" s="0" t="n">
        <v>5</v>
      </c>
      <c r="B6" s="0" t="s">
        <v>82</v>
      </c>
      <c r="C6" s="0" t="s">
        <v>83</v>
      </c>
      <c r="D6" s="0" t="s">
        <v>76</v>
      </c>
      <c r="E6" s="8" t="n">
        <v>46067</v>
      </c>
      <c r="F6" s="9" t="s">
        <v>84</v>
      </c>
    </row>
    <row r="7" customFormat="false" ht="15" hidden="false" customHeight="false" outlineLevel="0" collapsed="false">
      <c r="A7" s="0" t="n">
        <v>6</v>
      </c>
      <c r="B7" s="0" t="s">
        <v>85</v>
      </c>
      <c r="C7" s="0" t="s">
        <v>43</v>
      </c>
      <c r="D7" s="0" t="s">
        <v>73</v>
      </c>
      <c r="E7" s="8" t="n">
        <v>46077</v>
      </c>
      <c r="F7" s="9" t="s">
        <v>74</v>
      </c>
    </row>
    <row r="8" customFormat="false" ht="15" hidden="false" customHeight="false" outlineLevel="0" collapsed="false">
      <c r="A8" s="0" t="n">
        <v>7</v>
      </c>
      <c r="B8" s="0" t="s">
        <v>86</v>
      </c>
      <c r="C8" s="0" t="s">
        <v>47</v>
      </c>
      <c r="D8" s="0" t="s">
        <v>76</v>
      </c>
      <c r="E8" s="8" t="n">
        <v>46087</v>
      </c>
      <c r="F8" s="9" t="s">
        <v>77</v>
      </c>
    </row>
    <row r="9" customFormat="false" ht="15" hidden="false" customHeight="false" outlineLevel="0" collapsed="false">
      <c r="A9" s="0" t="n">
        <v>8</v>
      </c>
      <c r="B9" s="0" t="s">
        <v>87</v>
      </c>
      <c r="C9" s="0" t="s">
        <v>49</v>
      </c>
      <c r="D9" s="0" t="s">
        <v>79</v>
      </c>
      <c r="E9" s="8" t="n">
        <v>46097</v>
      </c>
      <c r="F9" s="9" t="s">
        <v>80</v>
      </c>
    </row>
    <row r="10" customFormat="false" ht="15" hidden="false" customHeight="false" outlineLevel="0" collapsed="false">
      <c r="A10" s="0" t="n">
        <v>9</v>
      </c>
      <c r="B10" s="0" t="s">
        <v>88</v>
      </c>
      <c r="C10" s="0" t="s">
        <v>52</v>
      </c>
      <c r="D10" s="0" t="s">
        <v>73</v>
      </c>
      <c r="E10" s="8" t="n">
        <v>46107</v>
      </c>
      <c r="F10" s="9" t="s">
        <v>74</v>
      </c>
    </row>
    <row r="11" customFormat="false" ht="15" hidden="false" customHeight="false" outlineLevel="0" collapsed="false">
      <c r="A11" s="0" t="n">
        <v>10</v>
      </c>
      <c r="B11" s="0" t="s">
        <v>89</v>
      </c>
      <c r="C11" s="0" t="s">
        <v>83</v>
      </c>
      <c r="D11" s="0" t="s">
        <v>76</v>
      </c>
      <c r="E11" s="8" t="n">
        <v>46117</v>
      </c>
      <c r="F11" s="9" t="s">
        <v>84</v>
      </c>
    </row>
    <row r="12" customFormat="false" ht="15" hidden="false" customHeight="false" outlineLevel="0" collapsed="false">
      <c r="A12" s="0" t="n">
        <v>11</v>
      </c>
      <c r="B12" s="0" t="s">
        <v>90</v>
      </c>
      <c r="C12" s="0" t="s">
        <v>43</v>
      </c>
      <c r="D12" s="0" t="s">
        <v>73</v>
      </c>
      <c r="E12" s="8" t="n">
        <v>46127</v>
      </c>
      <c r="F12" s="9" t="s">
        <v>74</v>
      </c>
    </row>
    <row r="13" customFormat="false" ht="15" hidden="false" customHeight="false" outlineLevel="0" collapsed="false">
      <c r="A13" s="0" t="n">
        <v>12</v>
      </c>
      <c r="B13" s="0" t="s">
        <v>91</v>
      </c>
      <c r="C13" s="0" t="s">
        <v>47</v>
      </c>
      <c r="D13" s="0" t="s">
        <v>76</v>
      </c>
      <c r="E13" s="8" t="n">
        <v>46137</v>
      </c>
      <c r="F13" s="9" t="s">
        <v>77</v>
      </c>
    </row>
    <row r="14" customFormat="false" ht="15" hidden="false" customHeight="false" outlineLevel="0" collapsed="false">
      <c r="A14" s="0" t="n">
        <v>13</v>
      </c>
      <c r="B14" s="0" t="s">
        <v>92</v>
      </c>
      <c r="C14" s="0" t="s">
        <v>49</v>
      </c>
      <c r="D14" s="0" t="s">
        <v>79</v>
      </c>
      <c r="E14" s="8" t="n">
        <v>46147</v>
      </c>
      <c r="F14" s="9" t="s">
        <v>80</v>
      </c>
    </row>
    <row r="15" customFormat="false" ht="15" hidden="false" customHeight="false" outlineLevel="0" collapsed="false">
      <c r="A15" s="0" t="n">
        <v>14</v>
      </c>
      <c r="B15" s="0" t="s">
        <v>93</v>
      </c>
      <c r="C15" s="0" t="s">
        <v>52</v>
      </c>
      <c r="D15" s="0" t="s">
        <v>73</v>
      </c>
      <c r="E15" s="8" t="n">
        <v>46157</v>
      </c>
      <c r="F15" s="9" t="s">
        <v>74</v>
      </c>
    </row>
    <row r="16" customFormat="false" ht="15" hidden="false" customHeight="false" outlineLevel="0" collapsed="false">
      <c r="A16" s="0" t="n">
        <v>15</v>
      </c>
      <c r="B16" s="0" t="s">
        <v>94</v>
      </c>
      <c r="C16" s="0" t="s">
        <v>83</v>
      </c>
      <c r="D16" s="0" t="s">
        <v>76</v>
      </c>
      <c r="E16" s="8" t="n">
        <v>46167</v>
      </c>
      <c r="F16" s="9" t="s">
        <v>84</v>
      </c>
    </row>
    <row r="17" customFormat="false" ht="15" hidden="false" customHeight="false" outlineLevel="0" collapsed="false">
      <c r="A17" s="0" t="n">
        <v>16</v>
      </c>
      <c r="B17" s="0" t="s">
        <v>95</v>
      </c>
      <c r="C17" s="0" t="s">
        <v>43</v>
      </c>
      <c r="D17" s="0" t="s">
        <v>73</v>
      </c>
      <c r="E17" s="8" t="n">
        <v>46177</v>
      </c>
      <c r="F17" s="9" t="s">
        <v>74</v>
      </c>
    </row>
    <row r="18" customFormat="false" ht="15" hidden="false" customHeight="false" outlineLevel="0" collapsed="false">
      <c r="A18" s="0" t="n">
        <v>17</v>
      </c>
      <c r="B18" s="0" t="s">
        <v>96</v>
      </c>
      <c r="C18" s="0" t="s">
        <v>47</v>
      </c>
      <c r="D18" s="0" t="s">
        <v>76</v>
      </c>
      <c r="E18" s="8" t="n">
        <v>46187</v>
      </c>
      <c r="F18" s="9" t="s">
        <v>77</v>
      </c>
    </row>
    <row r="19" customFormat="false" ht="15" hidden="false" customHeight="false" outlineLevel="0" collapsed="false">
      <c r="A19" s="0" t="n">
        <v>18</v>
      </c>
      <c r="B19" s="0" t="s">
        <v>97</v>
      </c>
      <c r="C19" s="0" t="s">
        <v>49</v>
      </c>
      <c r="D19" s="0" t="s">
        <v>79</v>
      </c>
      <c r="E19" s="8" t="n">
        <v>46197</v>
      </c>
      <c r="F19" s="9" t="s">
        <v>80</v>
      </c>
    </row>
    <row r="20" customFormat="false" ht="15" hidden="false" customHeight="false" outlineLevel="0" collapsed="false">
      <c r="A20" s="0" t="n">
        <v>19</v>
      </c>
      <c r="B20" s="0" t="s">
        <v>98</v>
      </c>
      <c r="C20" s="0" t="s">
        <v>52</v>
      </c>
      <c r="D20" s="0" t="s">
        <v>73</v>
      </c>
      <c r="E20" s="8" t="n">
        <v>46207</v>
      </c>
      <c r="F20" s="9" t="s">
        <v>74</v>
      </c>
    </row>
    <row r="21" customFormat="false" ht="15" hidden="false" customHeight="false" outlineLevel="0" collapsed="false">
      <c r="A21" s="0" t="n">
        <v>20</v>
      </c>
      <c r="B21" s="0" t="s">
        <v>99</v>
      </c>
      <c r="C21" s="0" t="s">
        <v>83</v>
      </c>
      <c r="D21" s="0" t="s">
        <v>76</v>
      </c>
      <c r="E21" s="8" t="n">
        <v>46217</v>
      </c>
      <c r="F21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2026-09-08T14:41:16Z</dcterms:created>
  <dc:creator>openpyxl</dc:creator>
  <dc:description/>
  <dc:language>en-US</dc:language>
  <cp:lastModifiedBy/>
  <dcterms:modified xsi:type="dcterms:W3CDTF">2026-09-08T14:46:13Z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